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_Productos" sheetId="1" state="visible" r:id="rId1"/>
    <sheet name="Simulador_Pricing" sheetId="2" state="visible" r:id="rId2"/>
    <sheet name="Resumen_Ejecutivo_PL" sheetId="3" state="visible" r:id="rId3"/>
    <sheet name="Benchmark_Competi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1A365D"/>
      <sz val="14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3" fontId="4" fillId="0" borderId="1" pivotButton="0" quotePrefix="0" xfId="0"/>
    <xf numFmtId="0" fontId="1" fillId="2" borderId="0" applyAlignment="1" pivotButton="0" quotePrefix="0" xfId="0">
      <alignment horizontal="center" vertical="center"/>
    </xf>
    <xf numFmtId="166" fontId="2" fillId="0" borderId="1" pivotButton="0" quotePrefix="0" xfId="0"/>
  </cellXfs>
  <cellStyles count="1">
    <cellStyle name="Normal" xfId="0" builtinId="0" hidden="0"/>
  </cellStyles>
  <dxfs count="2">
    <dxf>
      <font>
        <name val="Segoe UI"/>
        <b val="1"/>
        <color rgb="0022543D"/>
        <sz val="10"/>
      </font>
      <fill>
        <patternFill patternType="solid">
          <fgColor rgb="00C6F6D5"/>
          <bgColor rgb="00C6F6D5"/>
        </patternFill>
      </fill>
    </dxf>
    <dxf>
      <font>
        <name val="Segoe UI"/>
        <b val="1"/>
        <color rgb="009B2C2C"/>
        <sz val="10"/>
      </font>
      <fill>
        <patternFill patternType="solid">
          <fgColor rgb="00FED7D7"/>
          <b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63" customWidth="1" min="2" max="2"/>
    <col width="26" customWidth="1" min="3" max="3"/>
    <col width="22" customWidth="1" min="4" max="4"/>
    <col width="14" customWidth="1" min="5" max="5"/>
    <col width="14" customWidth="1" min="6" max="6"/>
    <col width="15" customWidth="1" min="7" max="7"/>
    <col width="19" customWidth="1" min="8" max="8"/>
    <col width="16" customWidth="1" min="9" max="9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Tier</t>
        </is>
      </c>
      <c r="F1" s="1" t="inlineStr">
        <is>
          <t>COGS_USD</t>
        </is>
      </c>
      <c r="G1" s="1" t="inlineStr">
        <is>
          <t>Elasticidad</t>
        </is>
      </c>
      <c r="H1" s="1" t="inlineStr">
        <is>
          <t>Precio_Base_USD</t>
        </is>
      </c>
      <c r="I1" s="1" t="inlineStr">
        <is>
          <t>Stock_Actual</t>
        </is>
      </c>
    </row>
    <row r="2">
      <c r="A2" s="2" t="inlineStr">
        <is>
          <t>IRN-FUE-BAR-0001</t>
        </is>
      </c>
      <c r="B2" s="2" t="inlineStr">
        <is>
          <t>IRONSIDE Cerakote 20kg [BETTER]</t>
        </is>
      </c>
      <c r="C2" s="2" t="inlineStr">
        <is>
          <t>Fuerza Libre</t>
        </is>
      </c>
      <c r="D2" s="2" t="inlineStr">
        <is>
          <t>Barras Olímpicas</t>
        </is>
      </c>
      <c r="E2" s="2" t="inlineStr">
        <is>
          <t>Better</t>
        </is>
      </c>
      <c r="F2" s="3" t="n">
        <v>46.2</v>
      </c>
      <c r="G2" s="4" t="n">
        <v>-1.26</v>
      </c>
      <c r="H2" s="3" t="n">
        <v>73.16</v>
      </c>
      <c r="I2" s="5" t="n">
        <v>188</v>
      </c>
    </row>
    <row r="3">
      <c r="A3" s="2" t="inlineStr">
        <is>
          <t>IRN-FUE-BAR-0002</t>
        </is>
      </c>
      <c r="B3" s="2" t="inlineStr">
        <is>
          <t>IRONSIDE Hard Chrome 20kg [BETTER]</t>
        </is>
      </c>
      <c r="C3" s="2" t="inlineStr">
        <is>
          <t>Fuerza Libre</t>
        </is>
      </c>
      <c r="D3" s="2" t="inlineStr">
        <is>
          <t>Barras Olímpicas</t>
        </is>
      </c>
      <c r="E3" s="2" t="inlineStr">
        <is>
          <t>Better</t>
        </is>
      </c>
      <c r="F3" s="3" t="n">
        <v>119.1</v>
      </c>
      <c r="G3" s="4" t="n">
        <v>-1.68</v>
      </c>
      <c r="H3" s="3" t="n">
        <v>186.28</v>
      </c>
      <c r="I3" s="5" t="n">
        <v>169</v>
      </c>
    </row>
    <row r="4">
      <c r="A4" s="2" t="inlineStr">
        <is>
          <t>IRN-FUE-BAR-0003</t>
        </is>
      </c>
      <c r="B4" s="2" t="inlineStr">
        <is>
          <t>IRONSIDE Women 15kg [GOOD]</t>
        </is>
      </c>
      <c r="C4" s="2" t="inlineStr">
        <is>
          <t>Fuerza Libre</t>
        </is>
      </c>
      <c r="D4" s="2" t="inlineStr">
        <is>
          <t>Barras Olímpicas</t>
        </is>
      </c>
      <c r="E4" s="2" t="inlineStr">
        <is>
          <t>Good</t>
        </is>
      </c>
      <c r="F4" s="3" t="n">
        <v>112.82</v>
      </c>
      <c r="G4" s="4" t="n">
        <v>-1.76</v>
      </c>
      <c r="H4" s="3" t="n">
        <v>161.68</v>
      </c>
      <c r="I4" s="5" t="n">
        <v>222</v>
      </c>
    </row>
    <row r="5">
      <c r="A5" s="2" t="inlineStr">
        <is>
          <t>IRN-FUE-BAR-0004</t>
        </is>
      </c>
      <c r="B5" s="2" t="inlineStr">
        <is>
          <t>IRONSIDE Trap Bar Hex [BETTER]</t>
        </is>
      </c>
      <c r="C5" s="2" t="inlineStr">
        <is>
          <t>Fuerza Libre</t>
        </is>
      </c>
      <c r="D5" s="2" t="inlineStr">
        <is>
          <t>Barras Olímpicas</t>
        </is>
      </c>
      <c r="E5" s="2" t="inlineStr">
        <is>
          <t>Better</t>
        </is>
      </c>
      <c r="F5" s="3" t="n">
        <v>63.56</v>
      </c>
      <c r="G5" s="4" t="n">
        <v>-1.5</v>
      </c>
      <c r="H5" s="3" t="n">
        <v>101.17</v>
      </c>
      <c r="I5" s="5" t="n">
        <v>210</v>
      </c>
    </row>
    <row r="6">
      <c r="A6" s="2" t="inlineStr">
        <is>
          <t>IRN-FUE-BAR-0005</t>
        </is>
      </c>
      <c r="B6" s="2" t="inlineStr">
        <is>
          <t>IRONSIDE EZ Curl Bar [GOOD]</t>
        </is>
      </c>
      <c r="C6" s="2" t="inlineStr">
        <is>
          <t>Fuerza Libre</t>
        </is>
      </c>
      <c r="D6" s="2" t="inlineStr">
        <is>
          <t>Barras Olímpicas</t>
        </is>
      </c>
      <c r="E6" s="2" t="inlineStr">
        <is>
          <t>Good</t>
        </is>
      </c>
      <c r="F6" s="3" t="n">
        <v>49.35</v>
      </c>
      <c r="G6" s="4" t="n">
        <v>-2.25</v>
      </c>
      <c r="H6" s="3" t="n">
        <v>73.56</v>
      </c>
      <c r="I6" s="5" t="n">
        <v>201</v>
      </c>
    </row>
    <row r="7">
      <c r="A7" s="2" t="inlineStr">
        <is>
          <t>IRN-FUE-BAR-0006</t>
        </is>
      </c>
      <c r="B7" s="2" t="inlineStr">
        <is>
          <t>IRONSIDE Shorty 10kg [GOOD]</t>
        </is>
      </c>
      <c r="C7" s="2" t="inlineStr">
        <is>
          <t>Fuerza Libre</t>
        </is>
      </c>
      <c r="D7" s="2" t="inlineStr">
        <is>
          <t>Barras Olímpicas</t>
        </is>
      </c>
      <c r="E7" s="2" t="inlineStr">
        <is>
          <t>Good</t>
        </is>
      </c>
      <c r="F7" s="3" t="n">
        <v>144.08</v>
      </c>
      <c r="G7" s="4" t="n">
        <v>-1.77</v>
      </c>
      <c r="H7" s="3" t="n">
        <v>208.05</v>
      </c>
      <c r="I7" s="5" t="n">
        <v>241</v>
      </c>
    </row>
    <row r="8">
      <c r="A8" s="2" t="inlineStr">
        <is>
          <t>IRN-FUE-DIS-0007</t>
        </is>
      </c>
      <c r="B8" s="2" t="inlineStr">
        <is>
          <t>IRONSIDE Hi-Temp Recycled 5kg [BETTER]</t>
        </is>
      </c>
      <c r="C8" s="2" t="inlineStr">
        <is>
          <t>Fuerza Libre</t>
        </is>
      </c>
      <c r="D8" s="2" t="inlineStr">
        <is>
          <t>Discos Bumper</t>
        </is>
      </c>
      <c r="E8" s="2" t="inlineStr">
        <is>
          <t>Better</t>
        </is>
      </c>
      <c r="F8" s="3" t="n">
        <v>97.59</v>
      </c>
      <c r="G8" s="4" t="n">
        <v>-1.19</v>
      </c>
      <c r="H8" s="3" t="n">
        <v>154.6</v>
      </c>
      <c r="I8" s="5" t="n">
        <v>35</v>
      </c>
    </row>
    <row r="9">
      <c r="A9" s="2" t="inlineStr">
        <is>
          <t>IRN-FUE-DIS-0008</t>
        </is>
      </c>
      <c r="B9" s="2" t="inlineStr">
        <is>
          <t>IRONSIDE Hi-Temp 10kg [BEST]</t>
        </is>
      </c>
      <c r="C9" s="2" t="inlineStr">
        <is>
          <t>Fuerza Libre</t>
        </is>
      </c>
      <c r="D9" s="2" t="inlineStr">
        <is>
          <t>Discos Bumper</t>
        </is>
      </c>
      <c r="E9" s="2" t="inlineStr">
        <is>
          <t>Best</t>
        </is>
      </c>
      <c r="F9" s="3" t="n">
        <v>67.03</v>
      </c>
      <c r="G9" s="4" t="n">
        <v>-1.07</v>
      </c>
      <c r="H9" s="3" t="n">
        <v>127.93</v>
      </c>
      <c r="I9" s="5" t="n">
        <v>105</v>
      </c>
    </row>
    <row r="10">
      <c r="A10" s="2" t="inlineStr">
        <is>
          <t>IRN-FUE-DIS-0009</t>
        </is>
      </c>
      <c r="B10" s="2" t="inlineStr">
        <is>
          <t>IRONSIDE Hi-Temp 15kg [GOOD]</t>
        </is>
      </c>
      <c r="C10" s="2" t="inlineStr">
        <is>
          <t>Fuerza Libre</t>
        </is>
      </c>
      <c r="D10" s="2" t="inlineStr">
        <is>
          <t>Discos Bumper</t>
        </is>
      </c>
      <c r="E10" s="2" t="inlineStr">
        <is>
          <t>Good</t>
        </is>
      </c>
      <c r="F10" s="3" t="n">
        <v>112.11</v>
      </c>
      <c r="G10" s="4" t="n">
        <v>-2.51</v>
      </c>
      <c r="H10" s="3" t="n">
        <v>167.2</v>
      </c>
      <c r="I10" s="5" t="n">
        <v>201</v>
      </c>
    </row>
    <row r="11">
      <c r="A11" s="2" t="inlineStr">
        <is>
          <t>IRN-FUE-DIS-0010</t>
        </is>
      </c>
      <c r="B11" s="2" t="inlineStr">
        <is>
          <t>IRONSIDE Hi-Temp 20kg [BETTER]</t>
        </is>
      </c>
      <c r="C11" s="2" t="inlineStr">
        <is>
          <t>Fuerza Libre</t>
        </is>
      </c>
      <c r="D11" s="2" t="inlineStr">
        <is>
          <t>Discos Bumper</t>
        </is>
      </c>
      <c r="E11" s="2" t="inlineStr">
        <is>
          <t>Better</t>
        </is>
      </c>
      <c r="F11" s="3" t="n">
        <v>44.46</v>
      </c>
      <c r="G11" s="4" t="n">
        <v>-1.19</v>
      </c>
      <c r="H11" s="3" t="n">
        <v>73.5</v>
      </c>
      <c r="I11" s="5" t="n">
        <v>98</v>
      </c>
    </row>
    <row r="12">
      <c r="A12" s="2" t="inlineStr">
        <is>
          <t>IRN-FUE-DIS-0011</t>
        </is>
      </c>
      <c r="B12" s="2" t="inlineStr">
        <is>
          <t>IRONSIDE Hi-Temp 25kg [BETTER]</t>
        </is>
      </c>
      <c r="C12" s="2" t="inlineStr">
        <is>
          <t>Fuerza Libre</t>
        </is>
      </c>
      <c r="D12" s="2" t="inlineStr">
        <is>
          <t>Discos Bumper</t>
        </is>
      </c>
      <c r="E12" s="2" t="inlineStr">
        <is>
          <t>Better</t>
        </is>
      </c>
      <c r="F12" s="3" t="n">
        <v>39.46</v>
      </c>
      <c r="G12" s="4" t="n">
        <v>-1.15</v>
      </c>
      <c r="H12" s="3" t="n">
        <v>63.03</v>
      </c>
      <c r="I12" s="5" t="n">
        <v>69</v>
      </c>
    </row>
    <row r="13">
      <c r="A13" s="2" t="inlineStr">
        <is>
          <t>IRN-FUE-DIS-0012</t>
        </is>
      </c>
      <c r="B13" s="2" t="inlineStr">
        <is>
          <t>IRONSIDE Competition Urethane 10kg [BETTER]</t>
        </is>
      </c>
      <c r="C13" s="2" t="inlineStr">
        <is>
          <t>Fuerza Libre</t>
        </is>
      </c>
      <c r="D13" s="2" t="inlineStr">
        <is>
          <t>Discos Bumper</t>
        </is>
      </c>
      <c r="E13" s="2" t="inlineStr">
        <is>
          <t>Better</t>
        </is>
      </c>
      <c r="F13" s="3" t="n">
        <v>99.22</v>
      </c>
      <c r="G13" s="4" t="n">
        <v>-1.42</v>
      </c>
      <c r="H13" s="3" t="n">
        <v>161.22</v>
      </c>
      <c r="I13" s="5" t="n">
        <v>179</v>
      </c>
    </row>
    <row r="14">
      <c r="A14" s="2" t="inlineStr">
        <is>
          <t>IRN-FUE-DIS-0013</t>
        </is>
      </c>
      <c r="B14" s="2" t="inlineStr">
        <is>
          <t>IRONSIDE Competition Urethane 20kg [GOOD]</t>
        </is>
      </c>
      <c r="C14" s="2" t="inlineStr">
        <is>
          <t>Fuerza Libre</t>
        </is>
      </c>
      <c r="D14" s="2" t="inlineStr">
        <is>
          <t>Discos Bumper</t>
        </is>
      </c>
      <c r="E14" s="2" t="inlineStr">
        <is>
          <t>Good</t>
        </is>
      </c>
      <c r="F14" s="3" t="n">
        <v>37.03</v>
      </c>
      <c r="G14" s="4" t="n">
        <v>-2.1</v>
      </c>
      <c r="H14" s="3" t="n">
        <v>53.3</v>
      </c>
      <c r="I14" s="5" t="n">
        <v>244</v>
      </c>
    </row>
    <row r="15">
      <c r="A15" s="2" t="inlineStr">
        <is>
          <t>IRN-FUE-DIS-0014</t>
        </is>
      </c>
      <c r="B15" s="2" t="inlineStr">
        <is>
          <t>IRONSIDE Fractional Plate Set [BETTER]</t>
        </is>
      </c>
      <c r="C15" s="2" t="inlineStr">
        <is>
          <t>Fuerza Libre</t>
        </is>
      </c>
      <c r="D15" s="2" t="inlineStr">
        <is>
          <t>Discos Bumper</t>
        </is>
      </c>
      <c r="E15" s="2" t="inlineStr">
        <is>
          <t>Better</t>
        </is>
      </c>
      <c r="F15" s="3" t="n">
        <v>133.37</v>
      </c>
      <c r="G15" s="4" t="n">
        <v>-1.63</v>
      </c>
      <c r="H15" s="3" t="n">
        <v>216.6</v>
      </c>
      <c r="I15" s="5" t="n">
        <v>235</v>
      </c>
    </row>
    <row r="16">
      <c r="A16" s="2" t="inlineStr">
        <is>
          <t>IRN-FUE-MAN-0015</t>
        </is>
      </c>
      <c r="B16" s="2" t="inlineStr">
        <is>
          <t>IRONSIDE Hex Dumbbell 2.5kg [BETTER]</t>
        </is>
      </c>
      <c r="C16" s="2" t="inlineStr">
        <is>
          <t>Fuerza Libre</t>
        </is>
      </c>
      <c r="D16" s="2" t="inlineStr">
        <is>
          <t>Mancuernas</t>
        </is>
      </c>
      <c r="E16" s="2" t="inlineStr">
        <is>
          <t>Better</t>
        </is>
      </c>
      <c r="F16" s="3" t="n">
        <v>84.8</v>
      </c>
      <c r="G16" s="4" t="n">
        <v>-1.38</v>
      </c>
      <c r="H16" s="3" t="n">
        <v>132.25</v>
      </c>
      <c r="I16" s="5" t="n">
        <v>134</v>
      </c>
    </row>
    <row r="17">
      <c r="A17" s="2" t="inlineStr">
        <is>
          <t>IRN-FUE-MAN-0016</t>
        </is>
      </c>
      <c r="B17" s="2" t="inlineStr">
        <is>
          <t>IRONSIDE Hex Dumbbell 5kg [BEST]</t>
        </is>
      </c>
      <c r="C17" s="2" t="inlineStr">
        <is>
          <t>Fuerza Libre</t>
        </is>
      </c>
      <c r="D17" s="2" t="inlineStr">
        <is>
          <t>Mancuernas</t>
        </is>
      </c>
      <c r="E17" s="2" t="inlineStr">
        <is>
          <t>Best</t>
        </is>
      </c>
      <c r="F17" s="3" t="n">
        <v>105.86</v>
      </c>
      <c r="G17" s="4" t="n">
        <v>-0.75</v>
      </c>
      <c r="H17" s="3" t="n">
        <v>199.04</v>
      </c>
      <c r="I17" s="5" t="n">
        <v>152</v>
      </c>
    </row>
    <row r="18">
      <c r="A18" s="2" t="inlineStr">
        <is>
          <t>IRN-FUE-MAN-0017</t>
        </is>
      </c>
      <c r="B18" s="2" t="inlineStr">
        <is>
          <t>IRONSIDE Hex Dumbbell 10kg [BETTER]</t>
        </is>
      </c>
      <c r="C18" s="2" t="inlineStr">
        <is>
          <t>Fuerza Libre</t>
        </is>
      </c>
      <c r="D18" s="2" t="inlineStr">
        <is>
          <t>Mancuernas</t>
        </is>
      </c>
      <c r="E18" s="2" t="inlineStr">
        <is>
          <t>Better</t>
        </is>
      </c>
      <c r="F18" s="3" t="n">
        <v>40.78</v>
      </c>
      <c r="G18" s="4" t="n">
        <v>-1.17</v>
      </c>
      <c r="H18" s="3" t="n">
        <v>64.18000000000001</v>
      </c>
      <c r="I18" s="5" t="n">
        <v>199</v>
      </c>
    </row>
    <row r="19">
      <c r="A19" s="2" t="inlineStr">
        <is>
          <t>IRN-FUE-MAN-0018</t>
        </is>
      </c>
      <c r="B19" s="2" t="inlineStr">
        <is>
          <t>IRONSIDE Hex Dumbbell 15kg [GOOD]</t>
        </is>
      </c>
      <c r="C19" s="2" t="inlineStr">
        <is>
          <t>Fuerza Libre</t>
        </is>
      </c>
      <c r="D19" s="2" t="inlineStr">
        <is>
          <t>Mancuernas</t>
        </is>
      </c>
      <c r="E19" s="2" t="inlineStr">
        <is>
          <t>Good</t>
        </is>
      </c>
      <c r="F19" s="3" t="n">
        <v>50.2</v>
      </c>
      <c r="G19" s="4" t="n">
        <v>-1.79</v>
      </c>
      <c r="H19" s="3" t="n">
        <v>77.15000000000001</v>
      </c>
      <c r="I19" s="5" t="n">
        <v>91</v>
      </c>
    </row>
    <row r="20">
      <c r="A20" s="2" t="inlineStr">
        <is>
          <t>IRN-FUE-MAN-0019</t>
        </is>
      </c>
      <c r="B20" s="2" t="inlineStr">
        <is>
          <t>IRONSIDE Hex Dumbbell 20kg [BETTER]</t>
        </is>
      </c>
      <c r="C20" s="2" t="inlineStr">
        <is>
          <t>Fuerza Libre</t>
        </is>
      </c>
      <c r="D20" s="2" t="inlineStr">
        <is>
          <t>Mancuernas</t>
        </is>
      </c>
      <c r="E20" s="2" t="inlineStr">
        <is>
          <t>Better</t>
        </is>
      </c>
      <c r="F20" s="3" t="n">
        <v>27.02</v>
      </c>
      <c r="G20" s="4" t="n">
        <v>-1.15</v>
      </c>
      <c r="H20" s="3" t="n">
        <v>42.54</v>
      </c>
      <c r="I20" s="5" t="n">
        <v>351</v>
      </c>
    </row>
    <row r="21">
      <c r="A21" s="2" t="inlineStr">
        <is>
          <t>IRN-FUE-MAN-0020</t>
        </is>
      </c>
      <c r="B21" s="2" t="inlineStr">
        <is>
          <t>IRONSIDE Hex Dumbbell 25kg [BETTER]</t>
        </is>
      </c>
      <c r="C21" s="2" t="inlineStr">
        <is>
          <t>Fuerza Libre</t>
        </is>
      </c>
      <c r="D21" s="2" t="inlineStr">
        <is>
          <t>Mancuernas</t>
        </is>
      </c>
      <c r="E21" s="2" t="inlineStr">
        <is>
          <t>Better</t>
        </is>
      </c>
      <c r="F21" s="3" t="n">
        <v>55.24</v>
      </c>
      <c r="G21" s="4" t="n">
        <v>-1.56</v>
      </c>
      <c r="H21" s="3" t="n">
        <v>88.63</v>
      </c>
      <c r="I21" s="5" t="n">
        <v>237</v>
      </c>
    </row>
    <row r="22">
      <c r="A22" s="2" t="inlineStr">
        <is>
          <t>IRN-FUE-MAN-0021</t>
        </is>
      </c>
      <c r="B22" s="2" t="inlineStr">
        <is>
          <t>IRONSIDE Hex Dumbbell 30kg [GOOD]</t>
        </is>
      </c>
      <c r="C22" s="2" t="inlineStr">
        <is>
          <t>Fuerza Libre</t>
        </is>
      </c>
      <c r="D22" s="2" t="inlineStr">
        <is>
          <t>Mancuernas</t>
        </is>
      </c>
      <c r="E22" s="2" t="inlineStr">
        <is>
          <t>Good</t>
        </is>
      </c>
      <c r="F22" s="3" t="n">
        <v>55.99</v>
      </c>
      <c r="G22" s="4" t="n">
        <v>-2.16</v>
      </c>
      <c r="H22" s="3" t="n">
        <v>84.53</v>
      </c>
      <c r="I22" s="5" t="n">
        <v>209</v>
      </c>
    </row>
    <row r="23">
      <c r="A23" s="2" t="inlineStr">
        <is>
          <t>IRN-FUE-MAN-0022</t>
        </is>
      </c>
      <c r="B23" s="2" t="inlineStr">
        <is>
          <t>IRONSIDE Round Urethane Dumbbell 20kg [GOOD]</t>
        </is>
      </c>
      <c r="C23" s="2" t="inlineStr">
        <is>
          <t>Fuerza Libre</t>
        </is>
      </c>
      <c r="D23" s="2" t="inlineStr">
        <is>
          <t>Mancuernas</t>
        </is>
      </c>
      <c r="E23" s="2" t="inlineStr">
        <is>
          <t>Good</t>
        </is>
      </c>
      <c r="F23" s="3" t="n">
        <v>64</v>
      </c>
      <c r="G23" s="4" t="n">
        <v>-2.29</v>
      </c>
      <c r="H23" s="3" t="n">
        <v>91.19</v>
      </c>
      <c r="I23" s="5" t="n">
        <v>170</v>
      </c>
    </row>
    <row r="24">
      <c r="A24" s="2" t="inlineStr">
        <is>
          <t>IRN-FUE-KET-0023</t>
        </is>
      </c>
      <c r="B24" s="2" t="inlineStr">
        <is>
          <t>IRONSIDE Competition Russian 8kg [GOOD]</t>
        </is>
      </c>
      <c r="C24" s="2" t="inlineStr">
        <is>
          <t>Fuerza Libre</t>
        </is>
      </c>
      <c r="D24" s="2" t="inlineStr">
        <is>
          <t>Kettlebells</t>
        </is>
      </c>
      <c r="E24" s="2" t="inlineStr">
        <is>
          <t>Good</t>
        </is>
      </c>
      <c r="F24" s="3" t="n">
        <v>49.42</v>
      </c>
      <c r="G24" s="4" t="n">
        <v>-2.02</v>
      </c>
      <c r="H24" s="3" t="n">
        <v>70.68000000000001</v>
      </c>
      <c r="I24" s="5" t="n">
        <v>186</v>
      </c>
    </row>
    <row r="25">
      <c r="A25" s="2" t="inlineStr">
        <is>
          <t>IRN-FUE-KET-0024</t>
        </is>
      </c>
      <c r="B25" s="2" t="inlineStr">
        <is>
          <t>IRONSIDE Competition Russian 12kg [BETTER]</t>
        </is>
      </c>
      <c r="C25" s="2" t="inlineStr">
        <is>
          <t>Fuerza Libre</t>
        </is>
      </c>
      <c r="D25" s="2" t="inlineStr">
        <is>
          <t>Kettlebells</t>
        </is>
      </c>
      <c r="E25" s="2" t="inlineStr">
        <is>
          <t>Better</t>
        </is>
      </c>
      <c r="F25" s="3" t="n">
        <v>53.87</v>
      </c>
      <c r="G25" s="4" t="n">
        <v>-1.37</v>
      </c>
      <c r="H25" s="3" t="n">
        <v>85.31</v>
      </c>
      <c r="I25" s="5" t="n">
        <v>165</v>
      </c>
    </row>
    <row r="26">
      <c r="A26" s="2" t="inlineStr">
        <is>
          <t>IRN-FUE-KET-0025</t>
        </is>
      </c>
      <c r="B26" s="2" t="inlineStr">
        <is>
          <t>IRONSIDE Competition Russian 16kg [BETTER]</t>
        </is>
      </c>
      <c r="C26" s="2" t="inlineStr">
        <is>
          <t>Fuerza Libre</t>
        </is>
      </c>
      <c r="D26" s="2" t="inlineStr">
        <is>
          <t>Kettlebells</t>
        </is>
      </c>
      <c r="E26" s="2" t="inlineStr">
        <is>
          <t>Better</t>
        </is>
      </c>
      <c r="F26" s="3" t="n">
        <v>14.87</v>
      </c>
      <c r="G26" s="4" t="n">
        <v>-1.18</v>
      </c>
      <c r="H26" s="3" t="n">
        <v>23.18</v>
      </c>
      <c r="I26" s="5" t="n">
        <v>23</v>
      </c>
    </row>
    <row r="27">
      <c r="A27" s="2" t="inlineStr">
        <is>
          <t>IRN-FUE-KET-0026</t>
        </is>
      </c>
      <c r="B27" s="2" t="inlineStr">
        <is>
          <t>IRONSIDE Competition Russian 20kg [GOOD]</t>
        </is>
      </c>
      <c r="C27" s="2" t="inlineStr">
        <is>
          <t>Fuerza Libre</t>
        </is>
      </c>
      <c r="D27" s="2" t="inlineStr">
        <is>
          <t>Kettlebells</t>
        </is>
      </c>
      <c r="E27" s="2" t="inlineStr">
        <is>
          <t>Good</t>
        </is>
      </c>
      <c r="F27" s="3" t="n">
        <v>28.93</v>
      </c>
      <c r="G27" s="4" t="n">
        <v>-2.11</v>
      </c>
      <c r="H27" s="3" t="n">
        <v>41.43</v>
      </c>
      <c r="I27" s="5" t="n">
        <v>240</v>
      </c>
    </row>
    <row r="28">
      <c r="A28" s="2" t="inlineStr">
        <is>
          <t>IRN-FUE-KET-0027</t>
        </is>
      </c>
      <c r="B28" s="2" t="inlineStr">
        <is>
          <t>IRONSIDE Competition Russian 24kg [BETTER]</t>
        </is>
      </c>
      <c r="C28" s="2" t="inlineStr">
        <is>
          <t>Fuerza Libre</t>
        </is>
      </c>
      <c r="D28" s="2" t="inlineStr">
        <is>
          <t>Kettlebells</t>
        </is>
      </c>
      <c r="E28" s="2" t="inlineStr">
        <is>
          <t>Better</t>
        </is>
      </c>
      <c r="F28" s="3" t="n">
        <v>74.27</v>
      </c>
      <c r="G28" s="4" t="n">
        <v>-1.49</v>
      </c>
      <c r="H28" s="3" t="n">
        <v>117.24</v>
      </c>
      <c r="I28" s="5" t="n">
        <v>125</v>
      </c>
    </row>
    <row r="29">
      <c r="A29" s="2" t="inlineStr">
        <is>
          <t>IRN-FUE-KET-0028</t>
        </is>
      </c>
      <c r="B29" s="2" t="inlineStr">
        <is>
          <t>IRONSIDE Competition Russian 32kg [BETTER]</t>
        </is>
      </c>
      <c r="C29" s="2" t="inlineStr">
        <is>
          <t>Fuerza Libre</t>
        </is>
      </c>
      <c r="D29" s="2" t="inlineStr">
        <is>
          <t>Kettlebells</t>
        </is>
      </c>
      <c r="E29" s="2" t="inlineStr">
        <is>
          <t>Better</t>
        </is>
      </c>
      <c r="F29" s="3" t="n">
        <v>80.31999999999999</v>
      </c>
      <c r="G29" s="4" t="n">
        <v>-1.46</v>
      </c>
      <c r="H29" s="3" t="n">
        <v>132.37</v>
      </c>
      <c r="I29" s="5" t="n">
        <v>30</v>
      </c>
    </row>
    <row r="30">
      <c r="A30" s="2" t="inlineStr">
        <is>
          <t>IRN-FUE-KET-0029</t>
        </is>
      </c>
      <c r="B30" s="2" t="inlineStr">
        <is>
          <t>IRONSIDE Cast Iron Powder Coat 16kg [GOOD]</t>
        </is>
      </c>
      <c r="C30" s="2" t="inlineStr">
        <is>
          <t>Fuerza Libre</t>
        </is>
      </c>
      <c r="D30" s="2" t="inlineStr">
        <is>
          <t>Kettlebells</t>
        </is>
      </c>
      <c r="E30" s="2" t="inlineStr">
        <is>
          <t>Good</t>
        </is>
      </c>
      <c r="F30" s="3" t="n">
        <v>71.34</v>
      </c>
      <c r="G30" s="4" t="n">
        <v>-2.58</v>
      </c>
      <c r="H30" s="3" t="n">
        <v>101.91</v>
      </c>
      <c r="I30" s="5" t="n">
        <v>123</v>
      </c>
    </row>
    <row r="31">
      <c r="A31" s="2" t="inlineStr">
        <is>
          <t>IRN-RAC-POW-0030</t>
        </is>
      </c>
      <c r="B31" s="2" t="inlineStr">
        <is>
          <t>IRONSIDE Commercial Monster Rack 3x3 [BETTER]</t>
        </is>
      </c>
      <c r="C31" s="2" t="inlineStr">
        <is>
          <t>Racks &amp; Estructuras</t>
        </is>
      </c>
      <c r="D31" s="2" t="inlineStr">
        <is>
          <t>Power Racks</t>
        </is>
      </c>
      <c r="E31" s="2" t="inlineStr">
        <is>
          <t>Better</t>
        </is>
      </c>
      <c r="F31" s="3" t="n">
        <v>948.61</v>
      </c>
      <c r="G31" s="4" t="n">
        <v>-1.67</v>
      </c>
      <c r="H31" s="3" t="n">
        <v>1585.32</v>
      </c>
      <c r="I31" s="5" t="n">
        <v>40</v>
      </c>
    </row>
    <row r="32">
      <c r="A32" s="2" t="inlineStr">
        <is>
          <t>IRN-RAC-POW-0031</t>
        </is>
      </c>
      <c r="B32" s="2" t="inlineStr">
        <is>
          <t>IRONSIDE Standard Power Cage 75x75 [BEST]</t>
        </is>
      </c>
      <c r="C32" s="2" t="inlineStr">
        <is>
          <t>Racks &amp; Estructuras</t>
        </is>
      </c>
      <c r="D32" s="2" t="inlineStr">
        <is>
          <t>Power Racks</t>
        </is>
      </c>
      <c r="E32" s="2" t="inlineStr">
        <is>
          <t>Best</t>
        </is>
      </c>
      <c r="F32" s="3" t="n">
        <v>1061.49</v>
      </c>
      <c r="G32" s="4" t="n">
        <v>-0.96</v>
      </c>
      <c r="H32" s="3" t="n">
        <v>2050.37</v>
      </c>
      <c r="I32" s="5" t="n">
        <v>57</v>
      </c>
    </row>
    <row r="33">
      <c r="A33" s="2" t="inlineStr">
        <is>
          <t>IRN-RAC-POW-0032</t>
        </is>
      </c>
      <c r="B33" s="2" t="inlineStr">
        <is>
          <t>IRONSIDE Half Rack Commercial [BETTER]</t>
        </is>
      </c>
      <c r="C33" s="2" t="inlineStr">
        <is>
          <t>Racks &amp; Estructuras</t>
        </is>
      </c>
      <c r="D33" s="2" t="inlineStr">
        <is>
          <t>Power Racks</t>
        </is>
      </c>
      <c r="E33" s="2" t="inlineStr">
        <is>
          <t>Better</t>
        </is>
      </c>
      <c r="F33" s="3" t="n">
        <v>940.63</v>
      </c>
      <c r="G33" s="4" t="n">
        <v>-1.54</v>
      </c>
      <c r="H33" s="3" t="n">
        <v>1481.21</v>
      </c>
      <c r="I33" s="5" t="n">
        <v>114</v>
      </c>
    </row>
    <row r="34">
      <c r="A34" s="2" t="inlineStr">
        <is>
          <t>IRN-RAC-POW-0033</t>
        </is>
      </c>
      <c r="B34" s="2" t="inlineStr">
        <is>
          <t>IRONSIDE Wall-Mount Folding Rack [BETTER]</t>
        </is>
      </c>
      <c r="C34" s="2" t="inlineStr">
        <is>
          <t>Racks &amp; Estructuras</t>
        </is>
      </c>
      <c r="D34" s="2" t="inlineStr">
        <is>
          <t>Power Racks</t>
        </is>
      </c>
      <c r="E34" s="2" t="inlineStr">
        <is>
          <t>Better</t>
        </is>
      </c>
      <c r="F34" s="3" t="n">
        <v>608.1</v>
      </c>
      <c r="G34" s="4" t="n">
        <v>-1.3</v>
      </c>
      <c r="H34" s="3" t="n">
        <v>1029.88</v>
      </c>
      <c r="I34" s="5" t="n">
        <v>364</v>
      </c>
    </row>
    <row r="35">
      <c r="A35" s="2" t="inlineStr">
        <is>
          <t>IRN-RAC-SQU-0034</t>
        </is>
      </c>
      <c r="B35" s="2" t="inlineStr">
        <is>
          <t>IRONSIDE Independent Squat Stand Pro [BETTER]</t>
        </is>
      </c>
      <c r="C35" s="2" t="inlineStr">
        <is>
          <t>Racks &amp; Estructuras</t>
        </is>
      </c>
      <c r="D35" s="2" t="inlineStr">
        <is>
          <t>Squat Stands</t>
        </is>
      </c>
      <c r="E35" s="2" t="inlineStr">
        <is>
          <t>Better</t>
        </is>
      </c>
      <c r="F35" s="3" t="n">
        <v>154.02</v>
      </c>
      <c r="G35" s="4" t="n">
        <v>-1.25</v>
      </c>
      <c r="H35" s="3" t="n">
        <v>240.08</v>
      </c>
      <c r="I35" s="5" t="n">
        <v>30</v>
      </c>
    </row>
    <row r="36">
      <c r="A36" s="2" t="inlineStr">
        <is>
          <t>IRN-RAC-SQU-0035</t>
        </is>
      </c>
      <c r="B36" s="2" t="inlineStr">
        <is>
          <t>IRONSIDE Yoke Squat Stand Heavy [GOOD]</t>
        </is>
      </c>
      <c r="C36" s="2" t="inlineStr">
        <is>
          <t>Racks &amp; Estructuras</t>
        </is>
      </c>
      <c r="D36" s="2" t="inlineStr">
        <is>
          <t>Squat Stands</t>
        </is>
      </c>
      <c r="E36" s="2" t="inlineStr">
        <is>
          <t>Good</t>
        </is>
      </c>
      <c r="F36" s="3" t="n">
        <v>227.57</v>
      </c>
      <c r="G36" s="4" t="n">
        <v>-1.65</v>
      </c>
      <c r="H36" s="3" t="n">
        <v>347.71</v>
      </c>
      <c r="I36" s="5" t="n">
        <v>145</v>
      </c>
    </row>
    <row r="37">
      <c r="A37" s="2" t="inlineStr">
        <is>
          <t>IRN-RAC-SQU-0036</t>
        </is>
      </c>
      <c r="B37" s="2" t="inlineStr">
        <is>
          <t>IRONSIDE Compact Stand Home Gym [GOOD]</t>
        </is>
      </c>
      <c r="C37" s="2" t="inlineStr">
        <is>
          <t>Racks &amp; Estructuras</t>
        </is>
      </c>
      <c r="D37" s="2" t="inlineStr">
        <is>
          <t>Squat Stands</t>
        </is>
      </c>
      <c r="E37" s="2" t="inlineStr">
        <is>
          <t>Good</t>
        </is>
      </c>
      <c r="F37" s="3" t="n">
        <v>230.06</v>
      </c>
      <c r="G37" s="4" t="n">
        <v>-1.36</v>
      </c>
      <c r="H37" s="3" t="n">
        <v>330.2</v>
      </c>
      <c r="I37" s="5" t="n">
        <v>242</v>
      </c>
    </row>
    <row r="38">
      <c r="A38" s="2" t="inlineStr">
        <is>
          <t>IRN-RAC-BAN-0037</t>
        </is>
      </c>
      <c r="B38" s="2" t="inlineStr">
        <is>
          <t>IRONSIDE Flat Competition Bench [BETTER]</t>
        </is>
      </c>
      <c r="C38" s="2" t="inlineStr">
        <is>
          <t>Racks &amp; Estructuras</t>
        </is>
      </c>
      <c r="D38" s="2" t="inlineStr">
        <is>
          <t>Bancos</t>
        </is>
      </c>
      <c r="E38" s="2" t="inlineStr">
        <is>
          <t>Better</t>
        </is>
      </c>
      <c r="F38" s="3" t="n">
        <v>71.75</v>
      </c>
      <c r="G38" s="4" t="n">
        <v>-1.14</v>
      </c>
      <c r="H38" s="3" t="n">
        <v>118.29</v>
      </c>
      <c r="I38" s="5" t="n">
        <v>95</v>
      </c>
    </row>
    <row r="39">
      <c r="A39" s="2" t="inlineStr">
        <is>
          <t>IRN-RAC-BAN-0038</t>
        </is>
      </c>
      <c r="B39" s="2" t="inlineStr">
        <is>
          <t>IRONSIDE Adjustable Incline/Decline FID Bench [GOOD]</t>
        </is>
      </c>
      <c r="C39" s="2" t="inlineStr">
        <is>
          <t>Racks &amp; Estructuras</t>
        </is>
      </c>
      <c r="D39" s="2" t="inlineStr">
        <is>
          <t>Bancos</t>
        </is>
      </c>
      <c r="E39" s="2" t="inlineStr">
        <is>
          <t>Good</t>
        </is>
      </c>
      <c r="F39" s="3" t="n">
        <v>210.48</v>
      </c>
      <c r="G39" s="4" t="n">
        <v>-1.43</v>
      </c>
      <c r="H39" s="3" t="n">
        <v>307.17</v>
      </c>
      <c r="I39" s="5" t="n">
        <v>91</v>
      </c>
    </row>
    <row r="40">
      <c r="A40" s="2" t="inlineStr">
        <is>
          <t>IRN-RAC-BAN-0039</t>
        </is>
      </c>
      <c r="B40" s="2" t="inlineStr">
        <is>
          <t>IRONSIDE Zero Gap Commercial Bench [BEST]</t>
        </is>
      </c>
      <c r="C40" s="2" t="inlineStr">
        <is>
          <t>Racks &amp; Estructuras</t>
        </is>
      </c>
      <c r="D40" s="2" t="inlineStr">
        <is>
          <t>Bancos</t>
        </is>
      </c>
      <c r="E40" s="2" t="inlineStr">
        <is>
          <t>Best</t>
        </is>
      </c>
      <c r="F40" s="3" t="n">
        <v>335.49</v>
      </c>
      <c r="G40" s="4" t="n">
        <v>-1.16</v>
      </c>
      <c r="H40" s="3" t="n">
        <v>622.4299999999999</v>
      </c>
      <c r="I40" s="5" t="n">
        <v>40</v>
      </c>
    </row>
    <row r="41">
      <c r="A41" s="2" t="inlineStr">
        <is>
          <t>IRN-RAC-BAN-0040</t>
        </is>
      </c>
      <c r="B41" s="2" t="inlineStr">
        <is>
          <t>IRONSIDE Foldable Utility Bench [GOOD]</t>
        </is>
      </c>
      <c r="C41" s="2" t="inlineStr">
        <is>
          <t>Racks &amp; Estructuras</t>
        </is>
      </c>
      <c r="D41" s="2" t="inlineStr">
        <is>
          <t>Bancos</t>
        </is>
      </c>
      <c r="E41" s="2" t="inlineStr">
        <is>
          <t>Good</t>
        </is>
      </c>
      <c r="F41" s="3" t="n">
        <v>112.73</v>
      </c>
      <c r="G41" s="4" t="n">
        <v>-1.53</v>
      </c>
      <c r="H41" s="3" t="n">
        <v>172.72</v>
      </c>
      <c r="I41" s="5" t="n">
        <v>109</v>
      </c>
    </row>
    <row r="42">
      <c r="A42" s="2" t="inlineStr">
        <is>
          <t>IRN-RAC-ACC-0041</t>
        </is>
      </c>
      <c r="B42" s="2" t="inlineStr">
        <is>
          <t>IRONSIDE Sandwich J-Cups Pair [BETTER]</t>
        </is>
      </c>
      <c r="C42" s="2" t="inlineStr">
        <is>
          <t>Racks &amp; Estructuras</t>
        </is>
      </c>
      <c r="D42" s="2" t="inlineStr">
        <is>
          <t>Accesorios Racks</t>
        </is>
      </c>
      <c r="E42" s="2" t="inlineStr">
        <is>
          <t>Better</t>
        </is>
      </c>
      <c r="F42" s="3" t="n">
        <v>109.47</v>
      </c>
      <c r="G42" s="4" t="n">
        <v>-1.7</v>
      </c>
      <c r="H42" s="3" t="n">
        <v>185.83</v>
      </c>
      <c r="I42" s="5" t="n">
        <v>150</v>
      </c>
    </row>
    <row r="43">
      <c r="A43" s="2" t="inlineStr">
        <is>
          <t>IRN-RAC-ACC-0042</t>
        </is>
      </c>
      <c r="B43" s="2" t="inlineStr">
        <is>
          <t>IRONSIDE Spotter Safety Arms [BEST]</t>
        </is>
      </c>
      <c r="C43" s="2" t="inlineStr">
        <is>
          <t>Racks &amp; Estructuras</t>
        </is>
      </c>
      <c r="D43" s="2" t="inlineStr">
        <is>
          <t>Accesorios Racks</t>
        </is>
      </c>
      <c r="E43" s="2" t="inlineStr">
        <is>
          <t>Best</t>
        </is>
      </c>
      <c r="F43" s="3" t="n">
        <v>82.20999999999999</v>
      </c>
      <c r="G43" s="4" t="n">
        <v>-0.67</v>
      </c>
      <c r="H43" s="3" t="n">
        <v>159.05</v>
      </c>
      <c r="I43" s="5" t="n">
        <v>44</v>
      </c>
    </row>
    <row r="44">
      <c r="A44" s="2" t="inlineStr">
        <is>
          <t>IRN-RAC-ACC-0043</t>
        </is>
      </c>
      <c r="B44" s="2" t="inlineStr">
        <is>
          <t>IRONSIDE Dip Station Attachment [BETTER]</t>
        </is>
      </c>
      <c r="C44" s="2" t="inlineStr">
        <is>
          <t>Racks &amp; Estructuras</t>
        </is>
      </c>
      <c r="D44" s="2" t="inlineStr">
        <is>
          <t>Accesorios Racks</t>
        </is>
      </c>
      <c r="E44" s="2" t="inlineStr">
        <is>
          <t>Better</t>
        </is>
      </c>
      <c r="F44" s="3" t="n">
        <v>48.37</v>
      </c>
      <c r="G44" s="4" t="n">
        <v>-1.32</v>
      </c>
      <c r="H44" s="3" t="n">
        <v>76.5</v>
      </c>
      <c r="I44" s="5" t="n">
        <v>190</v>
      </c>
    </row>
    <row r="45">
      <c r="A45" s="2" t="inlineStr">
        <is>
          <t>IRN-RAC-ACC-0044</t>
        </is>
      </c>
      <c r="B45" s="2" t="inlineStr">
        <is>
          <t>IRONSIDE Jammer Arms Set [GOOD]</t>
        </is>
      </c>
      <c r="C45" s="2" t="inlineStr">
        <is>
          <t>Racks &amp; Estructuras</t>
        </is>
      </c>
      <c r="D45" s="2" t="inlineStr">
        <is>
          <t>Accesorios Racks</t>
        </is>
      </c>
      <c r="E45" s="2" t="inlineStr">
        <is>
          <t>Good</t>
        </is>
      </c>
      <c r="F45" s="3" t="n">
        <v>89.77</v>
      </c>
      <c r="G45" s="4" t="n">
        <v>-1.2</v>
      </c>
      <c r="H45" s="3" t="n">
        <v>137.07</v>
      </c>
      <c r="I45" s="5" t="n">
        <v>123</v>
      </c>
    </row>
    <row r="46">
      <c r="A46" s="2" t="inlineStr">
        <is>
          <t>IRN-RAC-ACC-0045</t>
        </is>
      </c>
      <c r="B46" s="2" t="inlineStr">
        <is>
          <t>IRONSIDE Landmine Heavy Attachment [GOOD]</t>
        </is>
      </c>
      <c r="C46" s="2" t="inlineStr">
        <is>
          <t>Racks &amp; Estructuras</t>
        </is>
      </c>
      <c r="D46" s="2" t="inlineStr">
        <is>
          <t>Accesorios Racks</t>
        </is>
      </c>
      <c r="E46" s="2" t="inlineStr">
        <is>
          <t>Good</t>
        </is>
      </c>
      <c r="F46" s="3" t="n">
        <v>68.03</v>
      </c>
      <c r="G46" s="4" t="n">
        <v>-1.37</v>
      </c>
      <c r="H46" s="3" t="n">
        <v>105.24</v>
      </c>
      <c r="I46" s="5" t="n">
        <v>128</v>
      </c>
    </row>
    <row r="47">
      <c r="A47" s="2" t="inlineStr">
        <is>
          <t>IRN-CAR-AIR-0046</t>
        </is>
      </c>
      <c r="B47" s="2" t="inlineStr">
        <is>
          <t>IRONSIDE Commercial Wind Resistance Air Bike [BETTER]</t>
        </is>
      </c>
      <c r="C47" s="2" t="inlineStr">
        <is>
          <t>Cardio</t>
        </is>
      </c>
      <c r="D47" s="2" t="inlineStr">
        <is>
          <t>Air Bikes</t>
        </is>
      </c>
      <c r="E47" s="2" t="inlineStr">
        <is>
          <t>Better</t>
        </is>
      </c>
      <c r="F47" s="3" t="n">
        <v>281.2</v>
      </c>
      <c r="G47" s="4" t="n">
        <v>-1.18</v>
      </c>
      <c r="H47" s="3" t="n">
        <v>473.11</v>
      </c>
      <c r="I47" s="5" t="n">
        <v>154</v>
      </c>
    </row>
    <row r="48">
      <c r="A48" s="2" t="inlineStr">
        <is>
          <t>IRN-CAR-AIR-0047</t>
        </is>
      </c>
      <c r="B48" s="2" t="inlineStr">
        <is>
          <t>IRONSIDE Pro Heavy-Duty Fan Bike [BETTER]</t>
        </is>
      </c>
      <c r="C48" s="2" t="inlineStr">
        <is>
          <t>Cardio</t>
        </is>
      </c>
      <c r="D48" s="2" t="inlineStr">
        <is>
          <t>Air Bikes</t>
        </is>
      </c>
      <c r="E48" s="2" t="inlineStr">
        <is>
          <t>Better</t>
        </is>
      </c>
      <c r="F48" s="3" t="n">
        <v>519.67</v>
      </c>
      <c r="G48" s="4" t="n">
        <v>-0.62</v>
      </c>
      <c r="H48" s="3" t="n">
        <v>808.75</v>
      </c>
      <c r="I48" s="5" t="n">
        <v>218</v>
      </c>
    </row>
    <row r="49">
      <c r="A49" s="2" t="inlineStr">
        <is>
          <t>IRN-CAR-AIR-0048</t>
        </is>
      </c>
      <c r="B49" s="2" t="inlineStr">
        <is>
          <t>IRONSIDE Compact Air Bike [GOOD]</t>
        </is>
      </c>
      <c r="C49" s="2" t="inlineStr">
        <is>
          <t>Cardio</t>
        </is>
      </c>
      <c r="D49" s="2" t="inlineStr">
        <is>
          <t>Air Bikes</t>
        </is>
      </c>
      <c r="E49" s="2" t="inlineStr">
        <is>
          <t>Good</t>
        </is>
      </c>
      <c r="F49" s="3" t="n">
        <v>386.4</v>
      </c>
      <c r="G49" s="4" t="n">
        <v>-0.67</v>
      </c>
      <c r="H49" s="3" t="n">
        <v>579.62</v>
      </c>
      <c r="I49" s="5" t="n">
        <v>158</v>
      </c>
    </row>
    <row r="50">
      <c r="A50" s="2" t="inlineStr">
        <is>
          <t>IRN-CAR-REM-0049</t>
        </is>
      </c>
      <c r="B50" s="2" t="inlineStr">
        <is>
          <t>IRONSIDE Air Rower with PM5 Performance Monitor [BETTER]</t>
        </is>
      </c>
      <c r="C50" s="2" t="inlineStr">
        <is>
          <t>Cardio</t>
        </is>
      </c>
      <c r="D50" s="2" t="inlineStr">
        <is>
          <t>Remos</t>
        </is>
      </c>
      <c r="E50" s="2" t="inlineStr">
        <is>
          <t>Better</t>
        </is>
      </c>
      <c r="F50" s="3" t="n">
        <v>643.46</v>
      </c>
      <c r="G50" s="4" t="n">
        <v>-0.71</v>
      </c>
      <c r="H50" s="3" t="n">
        <v>1087.11</v>
      </c>
      <c r="I50" s="5" t="n">
        <v>219</v>
      </c>
    </row>
    <row r="51">
      <c r="A51" s="2" t="inlineStr">
        <is>
          <t>IRN-CAR-REM-0050</t>
        </is>
      </c>
      <c r="B51" s="2" t="inlineStr">
        <is>
          <t>IRONSIDE Magnetic Resistance Water Rower [BEST]</t>
        </is>
      </c>
      <c r="C51" s="2" t="inlineStr">
        <is>
          <t>Cardio</t>
        </is>
      </c>
      <c r="D51" s="2" t="inlineStr">
        <is>
          <t>Remos</t>
        </is>
      </c>
      <c r="E51" s="2" t="inlineStr">
        <is>
          <t>Best</t>
        </is>
      </c>
      <c r="F51" s="3" t="n">
        <v>369.21</v>
      </c>
      <c r="G51" s="4" t="n">
        <v>-0.68</v>
      </c>
      <c r="H51" s="3" t="n">
        <v>658.3200000000001</v>
      </c>
      <c r="I51" s="5" t="n">
        <v>422</v>
      </c>
    </row>
    <row r="52">
      <c r="A52" s="2" t="inlineStr">
        <is>
          <t>IRN-CAR-REM-0051</t>
        </is>
      </c>
      <c r="B52" s="2" t="inlineStr">
        <is>
          <t>IRONSIDE Commercial Foldable Rower [BEST]</t>
        </is>
      </c>
      <c r="C52" s="2" t="inlineStr">
        <is>
          <t>Cardio</t>
        </is>
      </c>
      <c r="D52" s="2" t="inlineStr">
        <is>
          <t>Remos</t>
        </is>
      </c>
      <c r="E52" s="2" t="inlineStr">
        <is>
          <t>Best</t>
        </is>
      </c>
      <c r="F52" s="3" t="n">
        <v>521.65</v>
      </c>
      <c r="G52" s="4" t="n">
        <v>-0.92</v>
      </c>
      <c r="H52" s="3" t="n">
        <v>900.9</v>
      </c>
      <c r="I52" s="5" t="n">
        <v>234</v>
      </c>
    </row>
    <row r="53">
      <c r="A53" s="2" t="inlineStr">
        <is>
          <t>IRN-CAR-SKI-0052</t>
        </is>
      </c>
      <c r="B53" s="2" t="inlineStr">
        <is>
          <t>IRONSIDE Wall Mount Ski Ergometer [GOOD]</t>
        </is>
      </c>
      <c r="C53" s="2" t="inlineStr">
        <is>
          <t>Cardio</t>
        </is>
      </c>
      <c r="D53" s="2" t="inlineStr">
        <is>
          <t>Ski Trainers</t>
        </is>
      </c>
      <c r="E53" s="2" t="inlineStr">
        <is>
          <t>Good</t>
        </is>
      </c>
      <c r="F53" s="3" t="n">
        <v>687.15</v>
      </c>
      <c r="G53" s="4" t="n">
        <v>-1.19</v>
      </c>
      <c r="H53" s="3" t="n">
        <v>1046.58</v>
      </c>
      <c r="I53" s="5" t="n">
        <v>72</v>
      </c>
    </row>
    <row r="54">
      <c r="A54" s="2" t="inlineStr">
        <is>
          <t>IRN-CAR-SKI-0053</t>
        </is>
      </c>
      <c r="B54" s="2" t="inlineStr">
        <is>
          <t>IRONSIDE Floor Stand Platform Ski Erg [GOOD]</t>
        </is>
      </c>
      <c r="C54" s="2" t="inlineStr">
        <is>
          <t>Cardio</t>
        </is>
      </c>
      <c r="D54" s="2" t="inlineStr">
        <is>
          <t>Ski Trainers</t>
        </is>
      </c>
      <c r="E54" s="2" t="inlineStr">
        <is>
          <t>Good</t>
        </is>
      </c>
      <c r="F54" s="3" t="n">
        <v>431.3</v>
      </c>
      <c r="G54" s="4" t="n">
        <v>-0.89</v>
      </c>
      <c r="H54" s="3" t="n">
        <v>666.37</v>
      </c>
      <c r="I54" s="5" t="n">
        <v>179</v>
      </c>
    </row>
    <row r="55">
      <c r="A55" s="2" t="inlineStr">
        <is>
          <t>IRN-CAR-CIN-0054</t>
        </is>
      </c>
      <c r="B55" s="2" t="inlineStr">
        <is>
          <t>IRONSIDE Non-Motorized Commercial Curved Treadmill [BETTER]</t>
        </is>
      </c>
      <c r="C55" s="2" t="inlineStr">
        <is>
          <t>Cardio</t>
        </is>
      </c>
      <c r="D55" s="2" t="inlineStr">
        <is>
          <t>Cintas Curvas</t>
        </is>
      </c>
      <c r="E55" s="2" t="inlineStr">
        <is>
          <t>Better</t>
        </is>
      </c>
      <c r="F55" s="3" t="n">
        <v>2060.58</v>
      </c>
      <c r="G55" s="4" t="n">
        <v>-1.09</v>
      </c>
      <c r="H55" s="3" t="n">
        <v>3202.43</v>
      </c>
      <c r="I55" s="5" t="n">
        <v>81</v>
      </c>
    </row>
    <row r="56">
      <c r="A56" s="2" t="inlineStr">
        <is>
          <t>IRN-CAR-CIN-0055</t>
        </is>
      </c>
      <c r="B56" s="2" t="inlineStr">
        <is>
          <t>IRONSIDE Pro Runner Self-Powered Slat Treadmill [BEST]</t>
        </is>
      </c>
      <c r="C56" s="2" t="inlineStr">
        <is>
          <t>Cardio</t>
        </is>
      </c>
      <c r="D56" s="2" t="inlineStr">
        <is>
          <t>Cintas Curvas</t>
        </is>
      </c>
      <c r="E56" s="2" t="inlineStr">
        <is>
          <t>Best</t>
        </is>
      </c>
      <c r="F56" s="3" t="n">
        <v>1393.93</v>
      </c>
      <c r="G56" s="4" t="n">
        <v>-0.9399999999999999</v>
      </c>
      <c r="H56" s="3" t="n">
        <v>2521.12</v>
      </c>
      <c r="I56" s="5" t="n">
        <v>95</v>
      </c>
    </row>
    <row r="57">
      <c r="A57" s="2" t="inlineStr">
        <is>
          <t>IRN-PES-POL-0056</t>
        </is>
      </c>
      <c r="B57" s="2" t="inlineStr">
        <is>
          <t>IRONSIDE Dual Adjustable Pulley 90kg x 2 [BEST]</t>
        </is>
      </c>
      <c r="C57" s="2" t="inlineStr">
        <is>
          <t>Peso Integrado</t>
        </is>
      </c>
      <c r="D57" s="2" t="inlineStr">
        <is>
          <t>Poleas Funcionales</t>
        </is>
      </c>
      <c r="E57" s="2" t="inlineStr">
        <is>
          <t>Best</t>
        </is>
      </c>
      <c r="F57" s="3" t="n">
        <v>916.3200000000001</v>
      </c>
      <c r="G57" s="4" t="n">
        <v>-1.2</v>
      </c>
      <c r="H57" s="3" t="n">
        <v>1601.29</v>
      </c>
      <c r="I57" s="5" t="n">
        <v>126</v>
      </c>
    </row>
    <row r="58">
      <c r="A58" s="2" t="inlineStr">
        <is>
          <t>IRN-PES-POL-0057</t>
        </is>
      </c>
      <c r="B58" s="2" t="inlineStr">
        <is>
          <t>IRONSIDE Functional Trainer Compact [BEST]</t>
        </is>
      </c>
      <c r="C58" s="2" t="inlineStr">
        <is>
          <t>Peso Integrado</t>
        </is>
      </c>
      <c r="D58" s="2" t="inlineStr">
        <is>
          <t>Poleas Funcionales</t>
        </is>
      </c>
      <c r="E58" s="2" t="inlineStr">
        <is>
          <t>Best</t>
        </is>
      </c>
      <c r="F58" s="3" t="n">
        <v>1640.48</v>
      </c>
      <c r="G58" s="4" t="n">
        <v>-0.9399999999999999</v>
      </c>
      <c r="H58" s="3" t="n">
        <v>3093.1</v>
      </c>
      <c r="I58" s="5" t="n">
        <v>108</v>
      </c>
    </row>
    <row r="59">
      <c r="A59" s="2" t="inlineStr">
        <is>
          <t>IRN-PES-POL-0058</t>
        </is>
      </c>
      <c r="B59" s="2" t="inlineStr">
        <is>
          <t>IRONSIDE Cable Crossover Commercial [BEST]</t>
        </is>
      </c>
      <c r="C59" s="2" t="inlineStr">
        <is>
          <t>Peso Integrado</t>
        </is>
      </c>
      <c r="D59" s="2" t="inlineStr">
        <is>
          <t>Poleas Funcionales</t>
        </is>
      </c>
      <c r="E59" s="2" t="inlineStr">
        <is>
          <t>Best</t>
        </is>
      </c>
      <c r="F59" s="3" t="n">
        <v>2295.3</v>
      </c>
      <c r="G59" s="4" t="n">
        <v>-1.02</v>
      </c>
      <c r="H59" s="3" t="n">
        <v>4282.68</v>
      </c>
      <c r="I59" s="5" t="n">
        <v>245</v>
      </c>
    </row>
    <row r="60">
      <c r="A60" s="2" t="inlineStr">
        <is>
          <t>IRN-PES-MÁQ-0059</t>
        </is>
      </c>
      <c r="B60" s="2" t="inlineStr">
        <is>
          <t>IRONSIDE Lat Pulldown / Low Row Combo 100kg [GOOD]</t>
        </is>
      </c>
      <c r="C60" s="2" t="inlineStr">
        <is>
          <t>Peso Integrado</t>
        </is>
      </c>
      <c r="D60" s="2" t="inlineStr">
        <is>
          <t>Máquinas de Placas</t>
        </is>
      </c>
      <c r="E60" s="2" t="inlineStr">
        <is>
          <t>Good</t>
        </is>
      </c>
      <c r="F60" s="3" t="n">
        <v>968.5700000000001</v>
      </c>
      <c r="G60" s="4" t="n">
        <v>-0.8</v>
      </c>
      <c r="H60" s="3" t="n">
        <v>1398.95</v>
      </c>
      <c r="I60" s="5" t="n">
        <v>122</v>
      </c>
    </row>
    <row r="61">
      <c r="A61" s="2" t="inlineStr">
        <is>
          <t>IRN-PES-MÁQ-0060</t>
        </is>
      </c>
      <c r="B61" s="2" t="inlineStr">
        <is>
          <t>IRONSIDE Leg Extension / Leg Curl Combo [BETTER]</t>
        </is>
      </c>
      <c r="C61" s="2" t="inlineStr">
        <is>
          <t>Peso Integrado</t>
        </is>
      </c>
      <c r="D61" s="2" t="inlineStr">
        <is>
          <t>Máquinas de Placas</t>
        </is>
      </c>
      <c r="E61" s="2" t="inlineStr">
        <is>
          <t>Better</t>
        </is>
      </c>
      <c r="F61" s="3" t="n">
        <v>1532.72</v>
      </c>
      <c r="G61" s="4" t="n">
        <v>-1.2</v>
      </c>
      <c r="H61" s="3" t="n">
        <v>2506.56</v>
      </c>
      <c r="I61" s="5" t="n">
        <v>228</v>
      </c>
    </row>
    <row r="62">
      <c r="A62" s="2" t="inlineStr">
        <is>
          <t>IRN-PES-MÁQ-0061</t>
        </is>
      </c>
      <c r="B62" s="2" t="inlineStr">
        <is>
          <t>IRONSIDE Seated Chest Press 80kg [GOOD]</t>
        </is>
      </c>
      <c r="C62" s="2" t="inlineStr">
        <is>
          <t>Peso Integrado</t>
        </is>
      </c>
      <c r="D62" s="2" t="inlineStr">
        <is>
          <t>Máquinas de Placas</t>
        </is>
      </c>
      <c r="E62" s="2" t="inlineStr">
        <is>
          <t>Good</t>
        </is>
      </c>
      <c r="F62" s="3" t="n">
        <v>993.6</v>
      </c>
      <c r="G62" s="4" t="n">
        <v>-0.79</v>
      </c>
      <c r="H62" s="3" t="n">
        <v>1488.62</v>
      </c>
      <c r="I62" s="5" t="n">
        <v>128</v>
      </c>
    </row>
    <row r="63">
      <c r="A63" s="2" t="inlineStr">
        <is>
          <t>IRN-PES-MÁQ-0062</t>
        </is>
      </c>
      <c r="B63" s="2" t="inlineStr">
        <is>
          <t>IRONSIDE Leg Press Hack Squat 45deg [BETTER]</t>
        </is>
      </c>
      <c r="C63" s="2" t="inlineStr">
        <is>
          <t>Peso Integrado</t>
        </is>
      </c>
      <c r="D63" s="2" t="inlineStr">
        <is>
          <t>Máquinas de Placas</t>
        </is>
      </c>
      <c r="E63" s="2" t="inlineStr">
        <is>
          <t>Better</t>
        </is>
      </c>
      <c r="F63" s="3" t="n">
        <v>1592.38</v>
      </c>
      <c r="G63" s="4" t="n">
        <v>-0.89</v>
      </c>
      <c r="H63" s="3" t="n">
        <v>2643.98</v>
      </c>
      <c r="I63" s="5" t="n">
        <v>87</v>
      </c>
    </row>
    <row r="64">
      <c r="A64" s="2" t="inlineStr">
        <is>
          <t>IRN-PES-SMI-0063</t>
        </is>
      </c>
      <c r="B64" s="2" t="inlineStr">
        <is>
          <t>IRONSIDE Commercial Counter-Balanced Smith Machine [BETTER]</t>
        </is>
      </c>
      <c r="C64" s="2" t="inlineStr">
        <is>
          <t>Peso Integrado</t>
        </is>
      </c>
      <c r="D64" s="2" t="inlineStr">
        <is>
          <t>Smith Machines</t>
        </is>
      </c>
      <c r="E64" s="2" t="inlineStr">
        <is>
          <t>Better</t>
        </is>
      </c>
      <c r="F64" s="3" t="n">
        <v>969.8200000000001</v>
      </c>
      <c r="G64" s="4" t="n">
        <v>-0.72</v>
      </c>
      <c r="H64" s="3" t="n">
        <v>1612.49</v>
      </c>
      <c r="I64" s="5" t="n">
        <v>72</v>
      </c>
    </row>
    <row r="65">
      <c r="A65" s="2" t="inlineStr">
        <is>
          <t>IRN-PES-SMI-0064</t>
        </is>
      </c>
      <c r="B65" s="2" t="inlineStr">
        <is>
          <t>IRONSIDE Multi-Power 3D Smith Machine [GOOD]</t>
        </is>
      </c>
      <c r="C65" s="2" t="inlineStr">
        <is>
          <t>Peso Integrado</t>
        </is>
      </c>
      <c r="D65" s="2" t="inlineStr">
        <is>
          <t>Smith Machines</t>
        </is>
      </c>
      <c r="E65" s="2" t="inlineStr">
        <is>
          <t>Good</t>
        </is>
      </c>
      <c r="F65" s="3" t="n">
        <v>573.35</v>
      </c>
      <c r="G65" s="4" t="n">
        <v>-0.95</v>
      </c>
      <c r="H65" s="3" t="n">
        <v>855.26</v>
      </c>
      <c r="I65" s="5" t="n">
        <v>131</v>
      </c>
    </row>
    <row r="66">
      <c r="A66" s="2" t="inlineStr">
        <is>
          <t>IRN-ACC-BAN-0065</t>
        </is>
      </c>
      <c r="B66" s="2" t="inlineStr">
        <is>
          <t>IRONSIDE Loop Resistance Bands 5-Pack [BETTER]</t>
        </is>
      </c>
      <c r="C66" s="2" t="inlineStr">
        <is>
          <t>Accesorios &amp; Movilidad</t>
        </is>
      </c>
      <c r="D66" s="2" t="inlineStr">
        <is>
          <t>Bandas y Agarre</t>
        </is>
      </c>
      <c r="E66" s="2" t="inlineStr">
        <is>
          <t>Better</t>
        </is>
      </c>
      <c r="F66" s="3" t="n">
        <v>10.35</v>
      </c>
      <c r="G66" s="4" t="n">
        <v>-1.29</v>
      </c>
      <c r="H66" s="3" t="n">
        <v>16.81</v>
      </c>
      <c r="I66" s="5" t="n">
        <v>182</v>
      </c>
    </row>
    <row r="67">
      <c r="A67" s="2" t="inlineStr">
        <is>
          <t>IRN-ACC-BAN-0066</t>
        </is>
      </c>
      <c r="B67" s="2" t="inlineStr">
        <is>
          <t>IRONSIDE Leather Lifting Straps [BEST]</t>
        </is>
      </c>
      <c r="C67" s="2" t="inlineStr">
        <is>
          <t>Accesorios &amp; Movilidad</t>
        </is>
      </c>
      <c r="D67" s="2" t="inlineStr">
        <is>
          <t>Bandas y Agarre</t>
        </is>
      </c>
      <c r="E67" s="2" t="inlineStr">
        <is>
          <t>Best</t>
        </is>
      </c>
      <c r="F67" s="3" t="n">
        <v>34.05</v>
      </c>
      <c r="G67" s="4" t="n">
        <v>-0.63</v>
      </c>
      <c r="H67" s="3" t="n">
        <v>64.51000000000001</v>
      </c>
      <c r="I67" s="5" t="n">
        <v>220</v>
      </c>
    </row>
    <row r="68">
      <c r="A68" s="2" t="inlineStr">
        <is>
          <t>IRN-ACC-BAN-0067</t>
        </is>
      </c>
      <c r="B68" s="2" t="inlineStr">
        <is>
          <t>IRONSIDE Gym Chalk Block 8-Pack [BETTER]</t>
        </is>
      </c>
      <c r="C68" s="2" t="inlineStr">
        <is>
          <t>Accesorios &amp; Movilidad</t>
        </is>
      </c>
      <c r="D68" s="2" t="inlineStr">
        <is>
          <t>Bandas y Agarre</t>
        </is>
      </c>
      <c r="E68" s="2" t="inlineStr">
        <is>
          <t>Better</t>
        </is>
      </c>
      <c r="F68" s="3" t="n">
        <v>6.21</v>
      </c>
      <c r="G68" s="4" t="n">
        <v>-1.42</v>
      </c>
      <c r="H68" s="3" t="n">
        <v>10.42</v>
      </c>
      <c r="I68" s="5" t="n">
        <v>220</v>
      </c>
    </row>
    <row r="69">
      <c r="A69" s="2" t="inlineStr">
        <is>
          <t>IRN-ACC-BAN-0068</t>
        </is>
      </c>
      <c r="B69" s="2" t="inlineStr">
        <is>
          <t>IRONSIDE Barbell Collars Aluminum [BETTER]</t>
        </is>
      </c>
      <c r="C69" s="2" t="inlineStr">
        <is>
          <t>Accesorios &amp; Movilidad</t>
        </is>
      </c>
      <c r="D69" s="2" t="inlineStr">
        <is>
          <t>Bandas y Agarre</t>
        </is>
      </c>
      <c r="E69" s="2" t="inlineStr">
        <is>
          <t>Better</t>
        </is>
      </c>
      <c r="F69" s="3" t="n">
        <v>20.79</v>
      </c>
      <c r="G69" s="4" t="n">
        <v>-1.27</v>
      </c>
      <c r="H69" s="3" t="n">
        <v>34.58</v>
      </c>
      <c r="I69" s="5" t="n">
        <v>223</v>
      </c>
    </row>
    <row r="70">
      <c r="A70" s="2" t="inlineStr">
        <is>
          <t>IRN-ACC-BAN-0069</t>
        </is>
      </c>
      <c r="B70" s="2" t="inlineStr">
        <is>
          <t>IRONSIDE Weightlifting Belt 10mm [BETTER]</t>
        </is>
      </c>
      <c r="C70" s="2" t="inlineStr">
        <is>
          <t>Accesorios &amp; Movilidad</t>
        </is>
      </c>
      <c r="D70" s="2" t="inlineStr">
        <is>
          <t>Bandas y Agarre</t>
        </is>
      </c>
      <c r="E70" s="2" t="inlineStr">
        <is>
          <t>Better</t>
        </is>
      </c>
      <c r="F70" s="3" t="n">
        <v>28.57</v>
      </c>
      <c r="G70" s="4" t="n">
        <v>-1.43</v>
      </c>
      <c r="H70" s="3" t="n">
        <v>48.13</v>
      </c>
      <c r="I70" s="5" t="n">
        <v>136</v>
      </c>
    </row>
    <row r="71">
      <c r="A71" s="2" t="inlineStr">
        <is>
          <t>IRN-ACC-PIS-0070</t>
        </is>
      </c>
      <c r="B71" s="2" t="inlineStr">
        <is>
          <t>IRONSIDE Rubber Floor Roll 8mm (10m2) [BETTER]</t>
        </is>
      </c>
      <c r="C71" s="2" t="inlineStr">
        <is>
          <t>Accesorios &amp; Movilidad</t>
        </is>
      </c>
      <c r="D71" s="2" t="inlineStr">
        <is>
          <t>Pisos y Protección</t>
        </is>
      </c>
      <c r="E71" s="2" t="inlineStr">
        <is>
          <t>Better</t>
        </is>
      </c>
      <c r="F71" s="3" t="n">
        <v>133.68</v>
      </c>
      <c r="G71" s="4" t="n">
        <v>-1.54</v>
      </c>
      <c r="H71" s="3" t="n">
        <v>222.8</v>
      </c>
      <c r="I71" s="5" t="n">
        <v>76</v>
      </c>
    </row>
    <row r="72">
      <c r="A72" s="2" t="inlineStr">
        <is>
          <t>IRN-ACC-PIS-0071</t>
        </is>
      </c>
      <c r="B72" s="2" t="inlineStr">
        <is>
          <t>IRONSIDE High Impact Interlocking Tile 25mm 1x1m [GOOD]</t>
        </is>
      </c>
      <c r="C72" s="2" t="inlineStr">
        <is>
          <t>Accesorios &amp; Movilidad</t>
        </is>
      </c>
      <c r="D72" s="2" t="inlineStr">
        <is>
          <t>Pisos y Protección</t>
        </is>
      </c>
      <c r="E72" s="2" t="inlineStr">
        <is>
          <t>Good</t>
        </is>
      </c>
      <c r="F72" s="3" t="n">
        <v>60.11</v>
      </c>
      <c r="G72" s="4" t="n">
        <v>-2.62</v>
      </c>
      <c r="H72" s="3" t="n">
        <v>87.04000000000001</v>
      </c>
      <c r="I72" s="5" t="n">
        <v>50</v>
      </c>
    </row>
    <row r="73">
      <c r="A73" s="2" t="inlineStr">
        <is>
          <t>IRN-ACC-PIS-0072</t>
        </is>
      </c>
      <c r="B73" s="2" t="inlineStr">
        <is>
          <t>IRONSIDE Drop Pads Noise Dampening Pair [BETTER]</t>
        </is>
      </c>
      <c r="C73" s="2" t="inlineStr">
        <is>
          <t>Accesorios &amp; Movilidad</t>
        </is>
      </c>
      <c r="D73" s="2" t="inlineStr">
        <is>
          <t>Pisos y Protección</t>
        </is>
      </c>
      <c r="E73" s="2" t="inlineStr">
        <is>
          <t>Better</t>
        </is>
      </c>
      <c r="F73" s="3" t="n">
        <v>51.67</v>
      </c>
      <c r="G73" s="4" t="n">
        <v>-1.45</v>
      </c>
      <c r="H73" s="3" t="n">
        <v>83.3</v>
      </c>
      <c r="I73" s="5" t="n">
        <v>134</v>
      </c>
    </row>
    <row r="74">
      <c r="A74" s="2" t="inlineStr">
        <is>
          <t>IRN-ACC-BAL-0073</t>
        </is>
      </c>
      <c r="B74" s="2" t="inlineStr">
        <is>
          <t>IRONSIDE Slam Ball 5kg [GOOD]</t>
        </is>
      </c>
      <c r="C74" s="2" t="inlineStr">
        <is>
          <t>Accesorios &amp; Movilidad</t>
        </is>
      </c>
      <c r="D74" s="2" t="inlineStr">
        <is>
          <t>Balones &amp; Plyo</t>
        </is>
      </c>
      <c r="E74" s="2" t="inlineStr">
        <is>
          <t>Good</t>
        </is>
      </c>
      <c r="F74" s="3" t="n">
        <v>41.32</v>
      </c>
      <c r="G74" s="4" t="n">
        <v>-1.74</v>
      </c>
      <c r="H74" s="3" t="n">
        <v>61.47</v>
      </c>
      <c r="I74" s="5" t="n">
        <v>234</v>
      </c>
    </row>
    <row r="75">
      <c r="A75" s="2" t="inlineStr">
        <is>
          <t>IRN-ACC-BAL-0074</t>
        </is>
      </c>
      <c r="B75" s="2" t="inlineStr">
        <is>
          <t>IRONSIDE Slam Ball 10kg [BETTER]</t>
        </is>
      </c>
      <c r="C75" s="2" t="inlineStr">
        <is>
          <t>Accesorios &amp; Movilidad</t>
        </is>
      </c>
      <c r="D75" s="2" t="inlineStr">
        <is>
          <t>Balones &amp; Plyo</t>
        </is>
      </c>
      <c r="E75" s="2" t="inlineStr">
        <is>
          <t>Better</t>
        </is>
      </c>
      <c r="F75" s="3" t="n">
        <v>50.77</v>
      </c>
      <c r="G75" s="4" t="n">
        <v>-1.13</v>
      </c>
      <c r="H75" s="3" t="n">
        <v>80.97</v>
      </c>
      <c r="I75" s="5" t="n">
        <v>243</v>
      </c>
    </row>
    <row r="76">
      <c r="A76" s="2" t="inlineStr">
        <is>
          <t>IRN-ACC-BAL-0075</t>
        </is>
      </c>
      <c r="B76" s="2" t="inlineStr">
        <is>
          <t>IRONSIDE Slam Ball 15kg [BETTER]</t>
        </is>
      </c>
      <c r="C76" s="2" t="inlineStr">
        <is>
          <t>Accesorios &amp; Movilidad</t>
        </is>
      </c>
      <c r="D76" s="2" t="inlineStr">
        <is>
          <t>Balones &amp; Plyo</t>
        </is>
      </c>
      <c r="E76" s="2" t="inlineStr">
        <is>
          <t>Better</t>
        </is>
      </c>
      <c r="F76" s="3" t="n">
        <v>71.44</v>
      </c>
      <c r="G76" s="4" t="n">
        <v>-1.54</v>
      </c>
      <c r="H76" s="3" t="n">
        <v>117.2</v>
      </c>
      <c r="I76" s="5" t="n">
        <v>71</v>
      </c>
    </row>
    <row r="77">
      <c r="A77" s="2" t="inlineStr">
        <is>
          <t>IRN-ACC-BAL-0076</t>
        </is>
      </c>
      <c r="B77" s="2" t="inlineStr">
        <is>
          <t>IRONSIDE Foam 3-in-1 Soft Plyo Box [BETTER]</t>
        </is>
      </c>
      <c r="C77" s="2" t="inlineStr">
        <is>
          <t>Accesorios &amp; Movilidad</t>
        </is>
      </c>
      <c r="D77" s="2" t="inlineStr">
        <is>
          <t>Balones &amp; Plyo</t>
        </is>
      </c>
      <c r="E77" s="2" t="inlineStr">
        <is>
          <t>Better</t>
        </is>
      </c>
      <c r="F77" s="3" t="n">
        <v>44.03</v>
      </c>
      <c r="G77" s="4" t="n">
        <v>-1.42</v>
      </c>
      <c r="H77" s="3" t="n">
        <v>73.52</v>
      </c>
      <c r="I77" s="5" t="n">
        <v>230</v>
      </c>
    </row>
    <row r="78">
      <c r="A78" s="2" t="inlineStr">
        <is>
          <t>IRN-ACC-BAL-0077</t>
        </is>
      </c>
      <c r="B78" s="2" t="inlineStr">
        <is>
          <t>IRONSIDE Wood CNC Plyo Box [GOOD]</t>
        </is>
      </c>
      <c r="C78" s="2" t="inlineStr">
        <is>
          <t>Accesorios &amp; Movilidad</t>
        </is>
      </c>
      <c r="D78" s="2" t="inlineStr">
        <is>
          <t>Balones &amp; Plyo</t>
        </is>
      </c>
      <c r="E78" s="2" t="inlineStr">
        <is>
          <t>Good</t>
        </is>
      </c>
      <c r="F78" s="3" t="n">
        <v>55.06</v>
      </c>
      <c r="G78" s="4" t="n">
        <v>-2.7</v>
      </c>
      <c r="H78" s="3" t="n">
        <v>80.34</v>
      </c>
      <c r="I78" s="5" t="n">
        <v>21</v>
      </c>
    </row>
    <row r="79">
      <c r="A79" s="2" t="inlineStr">
        <is>
          <t>IRN-ACC-BAL-0078</t>
        </is>
      </c>
      <c r="B79" s="2" t="inlineStr">
        <is>
          <t>IRONSIDE Wall Ball 9kg [BETTER]</t>
        </is>
      </c>
      <c r="C79" s="2" t="inlineStr">
        <is>
          <t>Accesorios &amp; Movilidad</t>
        </is>
      </c>
      <c r="D79" s="2" t="inlineStr">
        <is>
          <t>Balones &amp; Plyo</t>
        </is>
      </c>
      <c r="E79" s="2" t="inlineStr">
        <is>
          <t>Better</t>
        </is>
      </c>
      <c r="F79" s="3" t="n">
        <v>80.55</v>
      </c>
      <c r="G79" s="4" t="n">
        <v>-1.5</v>
      </c>
      <c r="H79" s="3" t="n">
        <v>128</v>
      </c>
      <c r="I79" s="5" t="n">
        <v>131</v>
      </c>
    </row>
    <row r="80">
      <c r="A80" s="2" t="inlineStr">
        <is>
          <t>IRN-FUE-BAR-0079</t>
        </is>
      </c>
      <c r="B80" s="2" t="inlineStr">
        <is>
          <t>IRONSIDE Cerakote 20kg [BETTER]</t>
        </is>
      </c>
      <c r="C80" s="2" t="inlineStr">
        <is>
          <t>Fuerza Libre</t>
        </is>
      </c>
      <c r="D80" s="2" t="inlineStr">
        <is>
          <t>Barras Olímpicas</t>
        </is>
      </c>
      <c r="E80" s="2" t="inlineStr">
        <is>
          <t>Better</t>
        </is>
      </c>
      <c r="F80" s="3" t="n">
        <v>91.84999999999999</v>
      </c>
      <c r="G80" s="4" t="n">
        <v>-1.42</v>
      </c>
      <c r="H80" s="3" t="n">
        <v>153.83</v>
      </c>
      <c r="I80" s="5" t="n">
        <v>35</v>
      </c>
    </row>
    <row r="81">
      <c r="A81" s="2" t="inlineStr">
        <is>
          <t>IRN-FUE-BAR-0080</t>
        </is>
      </c>
      <c r="B81" s="2" t="inlineStr">
        <is>
          <t>IRONSIDE Hard Chrome 20kg [BETTER]</t>
        </is>
      </c>
      <c r="C81" s="2" t="inlineStr">
        <is>
          <t>Fuerza Libre</t>
        </is>
      </c>
      <c r="D81" s="2" t="inlineStr">
        <is>
          <t>Barras Olímpicas</t>
        </is>
      </c>
      <c r="E81" s="2" t="inlineStr">
        <is>
          <t>Better</t>
        </is>
      </c>
      <c r="F81" s="3" t="n">
        <v>49.69</v>
      </c>
      <c r="G81" s="4" t="n">
        <v>-1.68</v>
      </c>
      <c r="H81" s="3" t="n">
        <v>78.69</v>
      </c>
      <c r="I81" s="5" t="n">
        <v>181</v>
      </c>
    </row>
    <row r="82">
      <c r="A82" s="2" t="inlineStr">
        <is>
          <t>IRN-FUE-BAR-0081</t>
        </is>
      </c>
      <c r="B82" s="2" t="inlineStr">
        <is>
          <t>IRONSIDE Women 15kg [GOOD]</t>
        </is>
      </c>
      <c r="C82" s="2" t="inlineStr">
        <is>
          <t>Fuerza Libre</t>
        </is>
      </c>
      <c r="D82" s="2" t="inlineStr">
        <is>
          <t>Barras Olímpicas</t>
        </is>
      </c>
      <c r="E82" s="2" t="inlineStr">
        <is>
          <t>Good</t>
        </is>
      </c>
      <c r="F82" s="3" t="n">
        <v>66.63</v>
      </c>
      <c r="G82" s="4" t="n">
        <v>-2</v>
      </c>
      <c r="H82" s="3" t="n">
        <v>99.48999999999999</v>
      </c>
      <c r="I82" s="5" t="n">
        <v>136</v>
      </c>
    </row>
    <row r="83">
      <c r="A83" s="2" t="inlineStr">
        <is>
          <t>IRN-FUE-BAR-0082</t>
        </is>
      </c>
      <c r="B83" s="2" t="inlineStr">
        <is>
          <t>IRONSIDE Trap Bar Hex [BETTER]</t>
        </is>
      </c>
      <c r="C83" s="2" t="inlineStr">
        <is>
          <t>Fuerza Libre</t>
        </is>
      </c>
      <c r="D83" s="2" t="inlineStr">
        <is>
          <t>Barras Olímpicas</t>
        </is>
      </c>
      <c r="E83" s="2" t="inlineStr">
        <is>
          <t>Better</t>
        </is>
      </c>
      <c r="F83" s="3" t="n">
        <v>71.08</v>
      </c>
      <c r="G83" s="4" t="n">
        <v>-1.12</v>
      </c>
      <c r="H83" s="3" t="n">
        <v>118.35</v>
      </c>
      <c r="I83" s="5" t="n">
        <v>170</v>
      </c>
    </row>
    <row r="84">
      <c r="A84" s="2" t="inlineStr">
        <is>
          <t>IRN-FUE-BAR-0083</t>
        </is>
      </c>
      <c r="B84" s="2" t="inlineStr">
        <is>
          <t>IRONSIDE EZ Curl Bar [BETTER]</t>
        </is>
      </c>
      <c r="C84" s="2" t="inlineStr">
        <is>
          <t>Fuerza Libre</t>
        </is>
      </c>
      <c r="D84" s="2" t="inlineStr">
        <is>
          <t>Barras Olímpicas</t>
        </is>
      </c>
      <c r="E84" s="2" t="inlineStr">
        <is>
          <t>Better</t>
        </is>
      </c>
      <c r="F84" s="3" t="n">
        <v>143.25</v>
      </c>
      <c r="G84" s="4" t="n">
        <v>-1.35</v>
      </c>
      <c r="H84" s="3" t="n">
        <v>228.72</v>
      </c>
      <c r="I84" s="5" t="n">
        <v>94</v>
      </c>
    </row>
    <row r="85">
      <c r="A85" s="2" t="inlineStr">
        <is>
          <t>IRN-FUE-BAR-0084</t>
        </is>
      </c>
      <c r="B85" s="2" t="inlineStr">
        <is>
          <t>IRONSIDE Shorty 10kg [BEST]</t>
        </is>
      </c>
      <c r="C85" s="2" t="inlineStr">
        <is>
          <t>Fuerza Libre</t>
        </is>
      </c>
      <c r="D85" s="2" t="inlineStr">
        <is>
          <t>Barras Olímpicas</t>
        </is>
      </c>
      <c r="E85" s="2" t="inlineStr">
        <is>
          <t>Best</t>
        </is>
      </c>
      <c r="F85" s="3" t="n">
        <v>105.71</v>
      </c>
      <c r="G85" s="4" t="n">
        <v>-0.82</v>
      </c>
      <c r="H85" s="3" t="n">
        <v>184.95</v>
      </c>
      <c r="I85" s="5" t="n">
        <v>227</v>
      </c>
    </row>
    <row r="86">
      <c r="A86" s="2" t="inlineStr">
        <is>
          <t>IRN-FUE-DIS-0085</t>
        </is>
      </c>
      <c r="B86" s="2" t="inlineStr">
        <is>
          <t>IRONSIDE Hi-Temp Recycled 5kg [GOOD]</t>
        </is>
      </c>
      <c r="C86" s="2" t="inlineStr">
        <is>
          <t>Fuerza Libre</t>
        </is>
      </c>
      <c r="D86" s="2" t="inlineStr">
        <is>
          <t>Discos Bumper</t>
        </is>
      </c>
      <c r="E86" s="2" t="inlineStr">
        <is>
          <t>Good</t>
        </is>
      </c>
      <c r="F86" s="3" t="n">
        <v>94.25</v>
      </c>
      <c r="G86" s="4" t="n">
        <v>-1.86</v>
      </c>
      <c r="H86" s="3" t="n">
        <v>140.44</v>
      </c>
      <c r="I86" s="5" t="n">
        <v>159</v>
      </c>
    </row>
    <row r="87">
      <c r="A87" s="2" t="inlineStr">
        <is>
          <t>IRN-FUE-DIS-0086</t>
        </is>
      </c>
      <c r="B87" s="2" t="inlineStr">
        <is>
          <t>IRONSIDE Hi-Temp 10kg [GOOD]</t>
        </is>
      </c>
      <c r="C87" s="2" t="inlineStr">
        <is>
          <t>Fuerza Libre</t>
        </is>
      </c>
      <c r="D87" s="2" t="inlineStr">
        <is>
          <t>Discos Bumper</t>
        </is>
      </c>
      <c r="E87" s="2" t="inlineStr">
        <is>
          <t>Good</t>
        </is>
      </c>
      <c r="F87" s="3" t="n">
        <v>56.81</v>
      </c>
      <c r="G87" s="4" t="n">
        <v>-2.3</v>
      </c>
      <c r="H87" s="3" t="n">
        <v>83.84999999999999</v>
      </c>
      <c r="I87" s="5" t="n">
        <v>232</v>
      </c>
    </row>
    <row r="88">
      <c r="A88" s="2" t="inlineStr">
        <is>
          <t>IRN-FUE-DIS-0087</t>
        </is>
      </c>
      <c r="B88" s="2" t="inlineStr">
        <is>
          <t>IRONSIDE Hi-Temp 15kg [BETTER]</t>
        </is>
      </c>
      <c r="C88" s="2" t="inlineStr">
        <is>
          <t>Fuerza Libre</t>
        </is>
      </c>
      <c r="D88" s="2" t="inlineStr">
        <is>
          <t>Discos Bumper</t>
        </is>
      </c>
      <c r="E88" s="2" t="inlineStr">
        <is>
          <t>Better</t>
        </is>
      </c>
      <c r="F88" s="3" t="n">
        <v>64.45</v>
      </c>
      <c r="G88" s="4" t="n">
        <v>-1.44</v>
      </c>
      <c r="H88" s="3" t="n">
        <v>108.52</v>
      </c>
      <c r="I88" s="5" t="n">
        <v>54</v>
      </c>
    </row>
    <row r="89">
      <c r="A89" s="2" t="inlineStr">
        <is>
          <t>IRN-FUE-DIS-0088</t>
        </is>
      </c>
      <c r="B89" s="2" t="inlineStr">
        <is>
          <t>IRONSIDE Hi-Temp 20kg [BETTER]</t>
        </is>
      </c>
      <c r="C89" s="2" t="inlineStr">
        <is>
          <t>Fuerza Libre</t>
        </is>
      </c>
      <c r="D89" s="2" t="inlineStr">
        <is>
          <t>Discos Bumper</t>
        </is>
      </c>
      <c r="E89" s="2" t="inlineStr">
        <is>
          <t>Better</t>
        </is>
      </c>
      <c r="F89" s="3" t="n">
        <v>129.48</v>
      </c>
      <c r="G89" s="4" t="n">
        <v>-1.42</v>
      </c>
      <c r="H89" s="3" t="n">
        <v>216.39</v>
      </c>
      <c r="I89" s="5" t="n">
        <v>138</v>
      </c>
    </row>
    <row r="90">
      <c r="A90" s="2" t="inlineStr">
        <is>
          <t>IRN-FUE-DIS-0089</t>
        </is>
      </c>
      <c r="B90" s="2" t="inlineStr">
        <is>
          <t>IRONSIDE Hi-Temp 25kg [BEST]</t>
        </is>
      </c>
      <c r="C90" s="2" t="inlineStr">
        <is>
          <t>Fuerza Libre</t>
        </is>
      </c>
      <c r="D90" s="2" t="inlineStr">
        <is>
          <t>Discos Bumper</t>
        </is>
      </c>
      <c r="E90" s="2" t="inlineStr">
        <is>
          <t>Best</t>
        </is>
      </c>
      <c r="F90" s="3" t="n">
        <v>97.06</v>
      </c>
      <c r="G90" s="4" t="n">
        <v>-0.67</v>
      </c>
      <c r="H90" s="3" t="n">
        <v>170.96</v>
      </c>
      <c r="I90" s="5" t="n">
        <v>222</v>
      </c>
    </row>
    <row r="91">
      <c r="A91" s="2" t="inlineStr">
        <is>
          <t>IRN-FUE-DIS-0090</t>
        </is>
      </c>
      <c r="B91" s="2" t="inlineStr">
        <is>
          <t>IRONSIDE Competition Urethane 10kg [GOOD]</t>
        </is>
      </c>
      <c r="C91" s="2" t="inlineStr">
        <is>
          <t>Fuerza Libre</t>
        </is>
      </c>
      <c r="D91" s="2" t="inlineStr">
        <is>
          <t>Discos Bumper</t>
        </is>
      </c>
      <c r="E91" s="2" t="inlineStr">
        <is>
          <t>Good</t>
        </is>
      </c>
      <c r="F91" s="3" t="n">
        <v>60.76</v>
      </c>
      <c r="G91" s="4" t="n">
        <v>-2.41</v>
      </c>
      <c r="H91" s="3" t="n">
        <v>88.52</v>
      </c>
      <c r="I91" s="5" t="n">
        <v>232</v>
      </c>
    </row>
    <row r="92">
      <c r="A92" s="2" t="inlineStr">
        <is>
          <t>IRN-FUE-DIS-0091</t>
        </is>
      </c>
      <c r="B92" s="2" t="inlineStr">
        <is>
          <t>IRONSIDE Competition Urethane 20kg [BETTER]</t>
        </is>
      </c>
      <c r="C92" s="2" t="inlineStr">
        <is>
          <t>Fuerza Libre</t>
        </is>
      </c>
      <c r="D92" s="2" t="inlineStr">
        <is>
          <t>Discos Bumper</t>
        </is>
      </c>
      <c r="E92" s="2" t="inlineStr">
        <is>
          <t>Better</t>
        </is>
      </c>
      <c r="F92" s="3" t="n">
        <v>54.83</v>
      </c>
      <c r="G92" s="4" t="n">
        <v>-1.53</v>
      </c>
      <c r="H92" s="3" t="n">
        <v>87.29000000000001</v>
      </c>
      <c r="I92" s="5" t="n">
        <v>240</v>
      </c>
    </row>
    <row r="93">
      <c r="A93" s="2" t="inlineStr">
        <is>
          <t>IRN-FUE-DIS-0092</t>
        </is>
      </c>
      <c r="B93" s="2" t="inlineStr">
        <is>
          <t>IRONSIDE Fractional Plate Set [GOOD]</t>
        </is>
      </c>
      <c r="C93" s="2" t="inlineStr">
        <is>
          <t>Fuerza Libre</t>
        </is>
      </c>
      <c r="D93" s="2" t="inlineStr">
        <is>
          <t>Discos Bumper</t>
        </is>
      </c>
      <c r="E93" s="2" t="inlineStr">
        <is>
          <t>Good</t>
        </is>
      </c>
      <c r="F93" s="3" t="n">
        <v>113.35</v>
      </c>
      <c r="G93" s="4" t="n">
        <v>-2.51</v>
      </c>
      <c r="H93" s="3" t="n">
        <v>170.93</v>
      </c>
      <c r="I93" s="5" t="n">
        <v>209</v>
      </c>
    </row>
    <row r="94">
      <c r="A94" s="2" t="inlineStr">
        <is>
          <t>IRN-FUE-MAN-0093</t>
        </is>
      </c>
      <c r="B94" s="2" t="inlineStr">
        <is>
          <t>IRONSIDE Hex Dumbbell 2.5kg [BETTER]</t>
        </is>
      </c>
      <c r="C94" s="2" t="inlineStr">
        <is>
          <t>Fuerza Libre</t>
        </is>
      </c>
      <c r="D94" s="2" t="inlineStr">
        <is>
          <t>Mancuernas</t>
        </is>
      </c>
      <c r="E94" s="2" t="inlineStr">
        <is>
          <t>Better</t>
        </is>
      </c>
      <c r="F94" s="3" t="n">
        <v>76.98</v>
      </c>
      <c r="G94" s="4" t="n">
        <v>-1.28</v>
      </c>
      <c r="H94" s="3" t="n">
        <v>119.52</v>
      </c>
      <c r="I94" s="5" t="n">
        <v>118</v>
      </c>
    </row>
    <row r="95">
      <c r="A95" s="2" t="inlineStr">
        <is>
          <t>IRN-FUE-MAN-0094</t>
        </is>
      </c>
      <c r="B95" s="2" t="inlineStr">
        <is>
          <t>IRONSIDE Hex Dumbbell 5kg [GOOD]</t>
        </is>
      </c>
      <c r="C95" s="2" t="inlineStr">
        <is>
          <t>Fuerza Libre</t>
        </is>
      </c>
      <c r="D95" s="2" t="inlineStr">
        <is>
          <t>Mancuernas</t>
        </is>
      </c>
      <c r="E95" s="2" t="inlineStr">
        <is>
          <t>Good</t>
        </is>
      </c>
      <c r="F95" s="3" t="n">
        <v>57.22</v>
      </c>
      <c r="G95" s="4" t="n">
        <v>-2.14</v>
      </c>
      <c r="H95" s="3" t="n">
        <v>84.66</v>
      </c>
      <c r="I95" s="5" t="n">
        <v>205</v>
      </c>
    </row>
    <row r="96">
      <c r="A96" s="2" t="inlineStr">
        <is>
          <t>IRN-FUE-MAN-0095</t>
        </is>
      </c>
      <c r="B96" s="2" t="inlineStr">
        <is>
          <t>IRONSIDE Hex Dumbbell 10kg [BETTER]</t>
        </is>
      </c>
      <c r="C96" s="2" t="inlineStr">
        <is>
          <t>Fuerza Libre</t>
        </is>
      </c>
      <c r="D96" s="2" t="inlineStr">
        <is>
          <t>Mancuernas</t>
        </is>
      </c>
      <c r="E96" s="2" t="inlineStr">
        <is>
          <t>Better</t>
        </is>
      </c>
      <c r="F96" s="3" t="n">
        <v>51.84</v>
      </c>
      <c r="G96" s="4" t="n">
        <v>-1.63</v>
      </c>
      <c r="H96" s="3" t="n">
        <v>82.14</v>
      </c>
      <c r="I96" s="5" t="n">
        <v>95</v>
      </c>
    </row>
    <row r="97">
      <c r="A97" s="2" t="inlineStr">
        <is>
          <t>IRN-FUE-MAN-0096</t>
        </is>
      </c>
      <c r="B97" s="2" t="inlineStr">
        <is>
          <t>IRONSIDE Hex Dumbbell 15kg [BETTER]</t>
        </is>
      </c>
      <c r="C97" s="2" t="inlineStr">
        <is>
          <t>Fuerza Libre</t>
        </is>
      </c>
      <c r="D97" s="2" t="inlineStr">
        <is>
          <t>Mancuernas</t>
        </is>
      </c>
      <c r="E97" s="2" t="inlineStr">
        <is>
          <t>Better</t>
        </is>
      </c>
      <c r="F97" s="3" t="n">
        <v>81.88</v>
      </c>
      <c r="G97" s="4" t="n">
        <v>-1.35</v>
      </c>
      <c r="H97" s="3" t="n">
        <v>129.57</v>
      </c>
      <c r="I97" s="5" t="n">
        <v>200</v>
      </c>
    </row>
    <row r="98">
      <c r="A98" s="2" t="inlineStr">
        <is>
          <t>IRN-FUE-MAN-0097</t>
        </is>
      </c>
      <c r="B98" s="2" t="inlineStr">
        <is>
          <t>IRONSIDE Hex Dumbbell 20kg [BETTER]</t>
        </is>
      </c>
      <c r="C98" s="2" t="inlineStr">
        <is>
          <t>Fuerza Libre</t>
        </is>
      </c>
      <c r="D98" s="2" t="inlineStr">
        <is>
          <t>Mancuernas</t>
        </is>
      </c>
      <c r="E98" s="2" t="inlineStr">
        <is>
          <t>Better</t>
        </is>
      </c>
      <c r="F98" s="3" t="n">
        <v>65.77</v>
      </c>
      <c r="G98" s="4" t="n">
        <v>-1.59</v>
      </c>
      <c r="H98" s="3" t="n">
        <v>110.16</v>
      </c>
      <c r="I98" s="5" t="n">
        <v>107</v>
      </c>
    </row>
    <row r="99">
      <c r="A99" s="2" t="inlineStr">
        <is>
          <t>IRN-FUE-MAN-0098</t>
        </is>
      </c>
      <c r="B99" s="2" t="inlineStr">
        <is>
          <t>IRONSIDE Hex Dumbbell 25kg [GOOD]</t>
        </is>
      </c>
      <c r="C99" s="2" t="inlineStr">
        <is>
          <t>Fuerza Libre</t>
        </is>
      </c>
      <c r="D99" s="2" t="inlineStr">
        <is>
          <t>Mancuernas</t>
        </is>
      </c>
      <c r="E99" s="2" t="inlineStr">
        <is>
          <t>Good</t>
        </is>
      </c>
      <c r="F99" s="3" t="n">
        <v>53.11</v>
      </c>
      <c r="G99" s="4" t="n">
        <v>-1.67</v>
      </c>
      <c r="H99" s="3" t="n">
        <v>82.12</v>
      </c>
      <c r="I99" s="5" t="n">
        <v>193</v>
      </c>
    </row>
    <row r="100">
      <c r="A100" s="2" t="inlineStr">
        <is>
          <t>IRN-FUE-MAN-0099</t>
        </is>
      </c>
      <c r="B100" s="2" t="inlineStr">
        <is>
          <t>IRONSIDE Hex Dumbbell 30kg [BETTER]</t>
        </is>
      </c>
      <c r="C100" s="2" t="inlineStr">
        <is>
          <t>Fuerza Libre</t>
        </is>
      </c>
      <c r="D100" s="2" t="inlineStr">
        <is>
          <t>Mancuernas</t>
        </is>
      </c>
      <c r="E100" s="2" t="inlineStr">
        <is>
          <t>Better</t>
        </is>
      </c>
      <c r="F100" s="3" t="n">
        <v>80.97</v>
      </c>
      <c r="G100" s="4" t="n">
        <v>-1.44</v>
      </c>
      <c r="H100" s="3" t="n">
        <v>125.65</v>
      </c>
      <c r="I100" s="5" t="n">
        <v>137</v>
      </c>
    </row>
    <row r="101">
      <c r="A101" s="2" t="inlineStr">
        <is>
          <t>IRN-FUE-MAN-0100</t>
        </is>
      </c>
      <c r="B101" s="2" t="inlineStr">
        <is>
          <t>IRONSIDE Round Urethane Dumbbell 20kg [GOOD]</t>
        </is>
      </c>
      <c r="C101" s="2" t="inlineStr">
        <is>
          <t>Fuerza Libre</t>
        </is>
      </c>
      <c r="D101" s="2" t="inlineStr">
        <is>
          <t>Mancuernas</t>
        </is>
      </c>
      <c r="E101" s="2" t="inlineStr">
        <is>
          <t>Good</t>
        </is>
      </c>
      <c r="F101" s="3" t="n">
        <v>11.25</v>
      </c>
      <c r="G101" s="4" t="n">
        <v>-2.21</v>
      </c>
      <c r="H101" s="3" t="n">
        <v>16.56</v>
      </c>
      <c r="I101" s="5" t="n">
        <v>117</v>
      </c>
    </row>
    <row r="102">
      <c r="A102" s="2" t="inlineStr">
        <is>
          <t>IRN-FUE-KET-0101</t>
        </is>
      </c>
      <c r="B102" s="2" t="inlineStr">
        <is>
          <t>IRONSIDE Competition Russian 8kg [BETTER]</t>
        </is>
      </c>
      <c r="C102" s="2" t="inlineStr">
        <is>
          <t>Fuerza Libre</t>
        </is>
      </c>
      <c r="D102" s="2" t="inlineStr">
        <is>
          <t>Kettlebells</t>
        </is>
      </c>
      <c r="E102" s="2" t="inlineStr">
        <is>
          <t>Better</t>
        </is>
      </c>
      <c r="F102" s="3" t="n">
        <v>66.77</v>
      </c>
      <c r="G102" s="4" t="n">
        <v>-1.1</v>
      </c>
      <c r="H102" s="3" t="n">
        <v>111.62</v>
      </c>
      <c r="I102" s="5" t="n">
        <v>123</v>
      </c>
    </row>
    <row r="103">
      <c r="A103" s="2" t="inlineStr">
        <is>
          <t>IRN-FUE-KET-0102</t>
        </is>
      </c>
      <c r="B103" s="2" t="inlineStr">
        <is>
          <t>IRONSIDE Competition Russian 12kg [GOOD]</t>
        </is>
      </c>
      <c r="C103" s="2" t="inlineStr">
        <is>
          <t>Fuerza Libre</t>
        </is>
      </c>
      <c r="D103" s="2" t="inlineStr">
        <is>
          <t>Kettlebells</t>
        </is>
      </c>
      <c r="E103" s="2" t="inlineStr">
        <is>
          <t>Good</t>
        </is>
      </c>
      <c r="F103" s="3" t="n">
        <v>64.73</v>
      </c>
      <c r="G103" s="4" t="n">
        <v>-2.34</v>
      </c>
      <c r="H103" s="3" t="n">
        <v>98.3</v>
      </c>
      <c r="I103" s="5" t="n">
        <v>148</v>
      </c>
    </row>
    <row r="104">
      <c r="A104" s="2" t="inlineStr">
        <is>
          <t>IRN-FUE-KET-0103</t>
        </is>
      </c>
      <c r="B104" s="2" t="inlineStr">
        <is>
          <t>IRONSIDE Competition Russian 16kg [BEST]</t>
        </is>
      </c>
      <c r="C104" s="2" t="inlineStr">
        <is>
          <t>Fuerza Libre</t>
        </is>
      </c>
      <c r="D104" s="2" t="inlineStr">
        <is>
          <t>Kettlebells</t>
        </is>
      </c>
      <c r="E104" s="2" t="inlineStr">
        <is>
          <t>Best</t>
        </is>
      </c>
      <c r="F104" s="3" t="n">
        <v>42.86</v>
      </c>
      <c r="G104" s="4" t="n">
        <v>-0.83</v>
      </c>
      <c r="H104" s="3" t="n">
        <v>77.45999999999999</v>
      </c>
      <c r="I104" s="5" t="n">
        <v>30</v>
      </c>
    </row>
    <row r="105">
      <c r="A105" s="2" t="inlineStr">
        <is>
          <t>IRN-FUE-KET-0104</t>
        </is>
      </c>
      <c r="B105" s="2" t="inlineStr">
        <is>
          <t>IRONSIDE Competition Russian 20kg [BETTER]</t>
        </is>
      </c>
      <c r="C105" s="2" t="inlineStr">
        <is>
          <t>Fuerza Libre</t>
        </is>
      </c>
      <c r="D105" s="2" t="inlineStr">
        <is>
          <t>Kettlebells</t>
        </is>
      </c>
      <c r="E105" s="2" t="inlineStr">
        <is>
          <t>Better</t>
        </is>
      </c>
      <c r="F105" s="3" t="n">
        <v>86.72</v>
      </c>
      <c r="G105" s="4" t="n">
        <v>-1.56</v>
      </c>
      <c r="H105" s="3" t="n">
        <v>137.16</v>
      </c>
      <c r="I105" s="5" t="n">
        <v>55</v>
      </c>
    </row>
    <row r="106">
      <c r="A106" s="2" t="inlineStr">
        <is>
          <t>IRN-FUE-KET-0105</t>
        </is>
      </c>
      <c r="B106" s="2" t="inlineStr">
        <is>
          <t>IRONSIDE Competition Russian 24kg [BETTER]</t>
        </is>
      </c>
      <c r="C106" s="2" t="inlineStr">
        <is>
          <t>Fuerza Libre</t>
        </is>
      </c>
      <c r="D106" s="2" t="inlineStr">
        <is>
          <t>Kettlebells</t>
        </is>
      </c>
      <c r="E106" s="2" t="inlineStr">
        <is>
          <t>Better</t>
        </is>
      </c>
      <c r="F106" s="3" t="n">
        <v>26.28</v>
      </c>
      <c r="G106" s="4" t="n">
        <v>-1.56</v>
      </c>
      <c r="H106" s="3" t="n">
        <v>43.45</v>
      </c>
      <c r="I106" s="5" t="n">
        <v>23</v>
      </c>
    </row>
    <row r="107">
      <c r="A107" s="2" t="inlineStr">
        <is>
          <t>IRN-FUE-KET-0106</t>
        </is>
      </c>
      <c r="B107" s="2" t="inlineStr">
        <is>
          <t>IRONSIDE Competition Russian 32kg [BETTER]</t>
        </is>
      </c>
      <c r="C107" s="2" t="inlineStr">
        <is>
          <t>Fuerza Libre</t>
        </is>
      </c>
      <c r="D107" s="2" t="inlineStr">
        <is>
          <t>Kettlebells</t>
        </is>
      </c>
      <c r="E107" s="2" t="inlineStr">
        <is>
          <t>Better</t>
        </is>
      </c>
      <c r="F107" s="3" t="n">
        <v>68.03</v>
      </c>
      <c r="G107" s="4" t="n">
        <v>-1.35</v>
      </c>
      <c r="H107" s="3" t="n">
        <v>112.46</v>
      </c>
      <c r="I107" s="5" t="n">
        <v>400</v>
      </c>
    </row>
    <row r="108">
      <c r="A108" s="2" t="inlineStr">
        <is>
          <t>IRN-FUE-KET-0107</t>
        </is>
      </c>
      <c r="B108" s="2" t="inlineStr">
        <is>
          <t>IRONSIDE Cast Iron Powder Coat 16kg [BEST]</t>
        </is>
      </c>
      <c r="C108" s="2" t="inlineStr">
        <is>
          <t>Fuerza Libre</t>
        </is>
      </c>
      <c r="D108" s="2" t="inlineStr">
        <is>
          <t>Kettlebells</t>
        </is>
      </c>
      <c r="E108" s="2" t="inlineStr">
        <is>
          <t>Best</t>
        </is>
      </c>
      <c r="F108" s="3" t="n">
        <v>34.06</v>
      </c>
      <c r="G108" s="4" t="n">
        <v>-0.7</v>
      </c>
      <c r="H108" s="3" t="n">
        <v>59.82</v>
      </c>
      <c r="I108" s="5" t="n">
        <v>83</v>
      </c>
    </row>
    <row r="109">
      <c r="A109" s="2" t="inlineStr">
        <is>
          <t>IRN-RAC-POW-0108</t>
        </is>
      </c>
      <c r="B109" s="2" t="inlineStr">
        <is>
          <t>IRONSIDE Commercial Monster Rack 3x3 [GOOD]</t>
        </is>
      </c>
      <c r="C109" s="2" t="inlineStr">
        <is>
          <t>Racks &amp; Estructuras</t>
        </is>
      </c>
      <c r="D109" s="2" t="inlineStr">
        <is>
          <t>Power Racks</t>
        </is>
      </c>
      <c r="E109" s="2" t="inlineStr">
        <is>
          <t>Good</t>
        </is>
      </c>
      <c r="F109" s="3" t="n">
        <v>332.38</v>
      </c>
      <c r="G109" s="4" t="n">
        <v>-1.44</v>
      </c>
      <c r="H109" s="3" t="n">
        <v>502.67</v>
      </c>
      <c r="I109" s="5" t="n">
        <v>88</v>
      </c>
    </row>
    <row r="110">
      <c r="A110" s="2" t="inlineStr">
        <is>
          <t>IRN-RAC-POW-0109</t>
        </is>
      </c>
      <c r="B110" s="2" t="inlineStr">
        <is>
          <t>IRONSIDE Standard Power Cage 75x75 [BETTER]</t>
        </is>
      </c>
      <c r="C110" s="2" t="inlineStr">
        <is>
          <t>Racks &amp; Estructuras</t>
        </is>
      </c>
      <c r="D110" s="2" t="inlineStr">
        <is>
          <t>Power Racks</t>
        </is>
      </c>
      <c r="E110" s="2" t="inlineStr">
        <is>
          <t>Better</t>
        </is>
      </c>
      <c r="F110" s="3" t="n">
        <v>485.6</v>
      </c>
      <c r="G110" s="4" t="n">
        <v>-1.65</v>
      </c>
      <c r="H110" s="3" t="n">
        <v>772.51</v>
      </c>
      <c r="I110" s="5" t="n">
        <v>127</v>
      </c>
    </row>
    <row r="111">
      <c r="A111" s="2" t="inlineStr">
        <is>
          <t>IRN-RAC-POW-0110</t>
        </is>
      </c>
      <c r="B111" s="2" t="inlineStr">
        <is>
          <t>IRONSIDE Half Rack Commercial [GOOD]</t>
        </is>
      </c>
      <c r="C111" s="2" t="inlineStr">
        <is>
          <t>Racks &amp; Estructuras</t>
        </is>
      </c>
      <c r="D111" s="2" t="inlineStr">
        <is>
          <t>Power Racks</t>
        </is>
      </c>
      <c r="E111" s="2" t="inlineStr">
        <is>
          <t>Good</t>
        </is>
      </c>
      <c r="F111" s="3" t="n">
        <v>524.64</v>
      </c>
      <c r="G111" s="4" t="n">
        <v>-1.2</v>
      </c>
      <c r="H111" s="3" t="n">
        <v>754.2</v>
      </c>
      <c r="I111" s="5" t="n">
        <v>187</v>
      </c>
    </row>
    <row r="112">
      <c r="A112" s="2" t="inlineStr">
        <is>
          <t>IRN-RAC-POW-0111</t>
        </is>
      </c>
      <c r="B112" s="2" t="inlineStr">
        <is>
          <t>IRONSIDE Wall-Mount Folding Rack [BETTER]</t>
        </is>
      </c>
      <c r="C112" s="2" t="inlineStr">
        <is>
          <t>Racks &amp; Estructuras</t>
        </is>
      </c>
      <c r="D112" s="2" t="inlineStr">
        <is>
          <t>Power Racks</t>
        </is>
      </c>
      <c r="E112" s="2" t="inlineStr">
        <is>
          <t>Better</t>
        </is>
      </c>
      <c r="F112" s="3" t="n">
        <v>1010.55</v>
      </c>
      <c r="G112" s="4" t="n">
        <v>-1.24</v>
      </c>
      <c r="H112" s="3" t="n">
        <v>1668.26</v>
      </c>
      <c r="I112" s="5" t="n">
        <v>25</v>
      </c>
    </row>
    <row r="113">
      <c r="A113" s="2" t="inlineStr">
        <is>
          <t>IRN-RAC-SQU-0112</t>
        </is>
      </c>
      <c r="B113" s="2" t="inlineStr">
        <is>
          <t>IRONSIDE Independent Squat Stand Pro [GOOD]</t>
        </is>
      </c>
      <c r="C113" s="2" t="inlineStr">
        <is>
          <t>Racks &amp; Estructuras</t>
        </is>
      </c>
      <c r="D113" s="2" t="inlineStr">
        <is>
          <t>Squat Stands</t>
        </is>
      </c>
      <c r="E113" s="2" t="inlineStr">
        <is>
          <t>Good</t>
        </is>
      </c>
      <c r="F113" s="3" t="n">
        <v>212.6</v>
      </c>
      <c r="G113" s="4" t="n">
        <v>-1.32</v>
      </c>
      <c r="H113" s="3" t="n">
        <v>306.51</v>
      </c>
      <c r="I113" s="5" t="n">
        <v>303</v>
      </c>
    </row>
    <row r="114">
      <c r="A114" s="2" t="inlineStr">
        <is>
          <t>IRN-RAC-SQU-0113</t>
        </is>
      </c>
      <c r="B114" s="2" t="inlineStr">
        <is>
          <t>IRONSIDE Yoke Squat Stand Heavy [BETTER]</t>
        </is>
      </c>
      <c r="C114" s="2" t="inlineStr">
        <is>
          <t>Racks &amp; Estructuras</t>
        </is>
      </c>
      <c r="D114" s="2" t="inlineStr">
        <is>
          <t>Squat Stands</t>
        </is>
      </c>
      <c r="E114" s="2" t="inlineStr">
        <is>
          <t>Better</t>
        </is>
      </c>
      <c r="F114" s="3" t="n">
        <v>128.58</v>
      </c>
      <c r="G114" s="4" t="n">
        <v>-1.6</v>
      </c>
      <c r="H114" s="3" t="n">
        <v>205.73</v>
      </c>
      <c r="I114" s="5" t="n">
        <v>234</v>
      </c>
    </row>
    <row r="115">
      <c r="A115" s="2" t="inlineStr">
        <is>
          <t>IRN-RAC-SQU-0114</t>
        </is>
      </c>
      <c r="B115" s="2" t="inlineStr">
        <is>
          <t>IRONSIDE Compact Stand Home Gym [BETTER]</t>
        </is>
      </c>
      <c r="C115" s="2" t="inlineStr">
        <is>
          <t>Racks &amp; Estructuras</t>
        </is>
      </c>
      <c r="D115" s="2" t="inlineStr">
        <is>
          <t>Squat Stands</t>
        </is>
      </c>
      <c r="E115" s="2" t="inlineStr">
        <is>
          <t>Better</t>
        </is>
      </c>
      <c r="F115" s="3" t="n">
        <v>232.81</v>
      </c>
      <c r="G115" s="4" t="n">
        <v>-1.43</v>
      </c>
      <c r="H115" s="3" t="n">
        <v>374.84</v>
      </c>
      <c r="I115" s="5" t="n">
        <v>24</v>
      </c>
    </row>
    <row r="116">
      <c r="A116" s="2" t="inlineStr">
        <is>
          <t>IRN-RAC-BAN-0115</t>
        </is>
      </c>
      <c r="B116" s="2" t="inlineStr">
        <is>
          <t>IRONSIDE Flat Competition Bench [GOOD]</t>
        </is>
      </c>
      <c r="C116" s="2" t="inlineStr">
        <is>
          <t>Racks &amp; Estructuras</t>
        </is>
      </c>
      <c r="D116" s="2" t="inlineStr">
        <is>
          <t>Bancos</t>
        </is>
      </c>
      <c r="E116" s="2" t="inlineStr">
        <is>
          <t>Good</t>
        </is>
      </c>
      <c r="F116" s="3" t="n">
        <v>125.32</v>
      </c>
      <c r="G116" s="4" t="n">
        <v>-1.31</v>
      </c>
      <c r="H116" s="3" t="n">
        <v>183.05</v>
      </c>
      <c r="I116" s="5" t="n">
        <v>15</v>
      </c>
    </row>
    <row r="117">
      <c r="A117" s="2" t="inlineStr">
        <is>
          <t>IRN-RAC-BAN-0116</t>
        </is>
      </c>
      <c r="B117" s="2" t="inlineStr">
        <is>
          <t>IRONSIDE Adjustable Incline/Decline FID Bench [BETTER]</t>
        </is>
      </c>
      <c r="C117" s="2" t="inlineStr">
        <is>
          <t>Racks &amp; Estructuras</t>
        </is>
      </c>
      <c r="D117" s="2" t="inlineStr">
        <is>
          <t>Bancos</t>
        </is>
      </c>
      <c r="E117" s="2" t="inlineStr">
        <is>
          <t>Better</t>
        </is>
      </c>
      <c r="F117" s="3" t="n">
        <v>162.71</v>
      </c>
      <c r="G117" s="4" t="n">
        <v>-1.43</v>
      </c>
      <c r="H117" s="3" t="n">
        <v>261.03</v>
      </c>
      <c r="I117" s="5" t="n">
        <v>175</v>
      </c>
    </row>
    <row r="118">
      <c r="A118" s="2" t="inlineStr">
        <is>
          <t>IRN-RAC-BAN-0117</t>
        </is>
      </c>
      <c r="B118" s="2" t="inlineStr">
        <is>
          <t>IRONSIDE Zero Gap Commercial Bench [GOOD]</t>
        </is>
      </c>
      <c r="C118" s="2" t="inlineStr">
        <is>
          <t>Racks &amp; Estructuras</t>
        </is>
      </c>
      <c r="D118" s="2" t="inlineStr">
        <is>
          <t>Bancos</t>
        </is>
      </c>
      <c r="E118" s="2" t="inlineStr">
        <is>
          <t>Good</t>
        </is>
      </c>
      <c r="F118" s="3" t="n">
        <v>113.13</v>
      </c>
      <c r="G118" s="4" t="n">
        <v>-1.63</v>
      </c>
      <c r="H118" s="3" t="n">
        <v>163.27</v>
      </c>
      <c r="I118" s="5" t="n">
        <v>139</v>
      </c>
    </row>
    <row r="119">
      <c r="A119" s="2" t="inlineStr">
        <is>
          <t>IRN-RAC-BAN-0118</t>
        </is>
      </c>
      <c r="B119" s="2" t="inlineStr">
        <is>
          <t>IRONSIDE Foldable Utility Bench [BEST]</t>
        </is>
      </c>
      <c r="C119" s="2" t="inlineStr">
        <is>
          <t>Racks &amp; Estructuras</t>
        </is>
      </c>
      <c r="D119" s="2" t="inlineStr">
        <is>
          <t>Bancos</t>
        </is>
      </c>
      <c r="E119" s="2" t="inlineStr">
        <is>
          <t>Best</t>
        </is>
      </c>
      <c r="F119" s="3" t="n">
        <v>243.39</v>
      </c>
      <c r="G119" s="4" t="n">
        <v>-0.96</v>
      </c>
      <c r="H119" s="3" t="n">
        <v>423.4</v>
      </c>
      <c r="I119" s="5" t="n">
        <v>156</v>
      </c>
    </row>
    <row r="120">
      <c r="A120" s="2" t="inlineStr">
        <is>
          <t>IRN-RAC-ACC-0119</t>
        </is>
      </c>
      <c r="B120" s="2" t="inlineStr">
        <is>
          <t>IRONSIDE Sandwich J-Cups Pair [GOOD]</t>
        </is>
      </c>
      <c r="C120" s="2" t="inlineStr">
        <is>
          <t>Racks &amp; Estructuras</t>
        </is>
      </c>
      <c r="D120" s="2" t="inlineStr">
        <is>
          <t>Accesorios Racks</t>
        </is>
      </c>
      <c r="E120" s="2" t="inlineStr">
        <is>
          <t>Good</t>
        </is>
      </c>
      <c r="F120" s="3" t="n">
        <v>139.26</v>
      </c>
      <c r="G120" s="4" t="n">
        <v>-1.4</v>
      </c>
      <c r="H120" s="3" t="n">
        <v>214.75</v>
      </c>
      <c r="I120" s="5" t="n">
        <v>54</v>
      </c>
    </row>
    <row r="121">
      <c r="A121" s="2" t="inlineStr">
        <is>
          <t>IRN-RAC-ACC-0120</t>
        </is>
      </c>
      <c r="B121" s="2" t="inlineStr">
        <is>
          <t>IRONSIDE Spotter Safety Arms [BETTER]</t>
        </is>
      </c>
      <c r="C121" s="2" t="inlineStr">
        <is>
          <t>Racks &amp; Estructuras</t>
        </is>
      </c>
      <c r="D121" s="2" t="inlineStr">
        <is>
          <t>Accesorios Racks</t>
        </is>
      </c>
      <c r="E121" s="2" t="inlineStr">
        <is>
          <t>Better</t>
        </is>
      </c>
      <c r="F121" s="3" t="n">
        <v>104.06</v>
      </c>
      <c r="G121" s="4" t="n">
        <v>-1.43</v>
      </c>
      <c r="H121" s="3" t="n">
        <v>174.32</v>
      </c>
      <c r="I121" s="5" t="n">
        <v>204</v>
      </c>
    </row>
    <row r="122">
      <c r="A122" s="2" t="inlineStr">
        <is>
          <t>IRN-RAC-ACC-0121</t>
        </is>
      </c>
      <c r="B122" s="2" t="inlineStr">
        <is>
          <t>IRONSIDE Dip Station Attachment [GOOD]</t>
        </is>
      </c>
      <c r="C122" s="2" t="inlineStr">
        <is>
          <t>Racks &amp; Estructuras</t>
        </is>
      </c>
      <c r="D122" s="2" t="inlineStr">
        <is>
          <t>Accesorios Racks</t>
        </is>
      </c>
      <c r="E122" s="2" t="inlineStr">
        <is>
          <t>Good</t>
        </is>
      </c>
      <c r="F122" s="3" t="n">
        <v>47.98</v>
      </c>
      <c r="G122" s="4" t="n">
        <v>-1.53</v>
      </c>
      <c r="H122" s="3" t="n">
        <v>72.54000000000001</v>
      </c>
      <c r="I122" s="5" t="n">
        <v>32</v>
      </c>
    </row>
    <row r="123">
      <c r="A123" s="2" t="inlineStr">
        <is>
          <t>IRN-RAC-ACC-0122</t>
        </is>
      </c>
      <c r="B123" s="2" t="inlineStr">
        <is>
          <t>IRONSIDE Jammer Arms Set [BETTER]</t>
        </is>
      </c>
      <c r="C123" s="2" t="inlineStr">
        <is>
          <t>Racks &amp; Estructuras</t>
        </is>
      </c>
      <c r="D123" s="2" t="inlineStr">
        <is>
          <t>Accesorios Racks</t>
        </is>
      </c>
      <c r="E123" s="2" t="inlineStr">
        <is>
          <t>Better</t>
        </is>
      </c>
      <c r="F123" s="3" t="n">
        <v>89.26000000000001</v>
      </c>
      <c r="G123" s="4" t="n">
        <v>-1.26</v>
      </c>
      <c r="H123" s="3" t="n">
        <v>145.15</v>
      </c>
      <c r="I123" s="5" t="n">
        <v>87</v>
      </c>
    </row>
    <row r="124">
      <c r="A124" s="2" t="inlineStr">
        <is>
          <t>IRN-RAC-ACC-0123</t>
        </is>
      </c>
      <c r="B124" s="2" t="inlineStr">
        <is>
          <t>IRONSIDE Landmine Heavy Attachment [BEST]</t>
        </is>
      </c>
      <c r="C124" s="2" t="inlineStr">
        <is>
          <t>Racks &amp; Estructuras</t>
        </is>
      </c>
      <c r="D124" s="2" t="inlineStr">
        <is>
          <t>Accesorios Racks</t>
        </is>
      </c>
      <c r="E124" s="2" t="inlineStr">
        <is>
          <t>Best</t>
        </is>
      </c>
      <c r="F124" s="3" t="n">
        <v>133.36</v>
      </c>
      <c r="G124" s="4" t="n">
        <v>-0.99</v>
      </c>
      <c r="H124" s="3" t="n">
        <v>255.56</v>
      </c>
      <c r="I124" s="5" t="n">
        <v>138</v>
      </c>
    </row>
    <row r="125">
      <c r="A125" s="2" t="inlineStr">
        <is>
          <t>IRN-CAR-AIR-0124</t>
        </is>
      </c>
      <c r="B125" s="2" t="inlineStr">
        <is>
          <t>IRONSIDE Commercial Wind Resistance Air Bike [BETTER]</t>
        </is>
      </c>
      <c r="C125" s="2" t="inlineStr">
        <is>
          <t>Cardio</t>
        </is>
      </c>
      <c r="D125" s="2" t="inlineStr">
        <is>
          <t>Air Bikes</t>
        </is>
      </c>
      <c r="E125" s="2" t="inlineStr">
        <is>
          <t>Better</t>
        </is>
      </c>
      <c r="F125" s="3" t="n">
        <v>515.6799999999999</v>
      </c>
      <c r="G125" s="4" t="n">
        <v>-1.06</v>
      </c>
      <c r="H125" s="3" t="n">
        <v>824.1900000000001</v>
      </c>
      <c r="I125" s="5" t="n">
        <v>193</v>
      </c>
    </row>
    <row r="126">
      <c r="A126" s="2" t="inlineStr">
        <is>
          <t>IRN-CAR-AIR-0125</t>
        </is>
      </c>
      <c r="B126" s="2" t="inlineStr">
        <is>
          <t>IRONSIDE Pro Heavy-Duty Fan Bike [BETTER]</t>
        </is>
      </c>
      <c r="C126" s="2" t="inlineStr">
        <is>
          <t>Cardio</t>
        </is>
      </c>
      <c r="D126" s="2" t="inlineStr">
        <is>
          <t>Air Bikes</t>
        </is>
      </c>
      <c r="E126" s="2" t="inlineStr">
        <is>
          <t>Better</t>
        </is>
      </c>
      <c r="F126" s="3" t="n">
        <v>653</v>
      </c>
      <c r="G126" s="4" t="n">
        <v>-0.71</v>
      </c>
      <c r="H126" s="3" t="n">
        <v>1043.32</v>
      </c>
      <c r="I126" s="5" t="n">
        <v>248</v>
      </c>
    </row>
    <row r="127">
      <c r="A127" s="2" t="inlineStr">
        <is>
          <t>IRN-CAR-AIR-0126</t>
        </is>
      </c>
      <c r="B127" s="2" t="inlineStr">
        <is>
          <t>IRONSIDE Compact Air Bike [BETTER]</t>
        </is>
      </c>
      <c r="C127" s="2" t="inlineStr">
        <is>
          <t>Cardio</t>
        </is>
      </c>
      <c r="D127" s="2" t="inlineStr">
        <is>
          <t>Air Bikes</t>
        </is>
      </c>
      <c r="E127" s="2" t="inlineStr">
        <is>
          <t>Better</t>
        </is>
      </c>
      <c r="F127" s="3" t="n">
        <v>568.51</v>
      </c>
      <c r="G127" s="4" t="n">
        <v>-1.12</v>
      </c>
      <c r="H127" s="3" t="n">
        <v>964.83</v>
      </c>
      <c r="I127" s="5" t="n">
        <v>24</v>
      </c>
    </row>
    <row r="128">
      <c r="A128" s="2" t="inlineStr">
        <is>
          <t>IRN-CAR-REM-0127</t>
        </is>
      </c>
      <c r="B128" s="2" t="inlineStr">
        <is>
          <t>IRONSIDE Air Rower with PM5 Performance Monitor [BEST]</t>
        </is>
      </c>
      <c r="C128" s="2" t="inlineStr">
        <is>
          <t>Cardio</t>
        </is>
      </c>
      <c r="D128" s="2" t="inlineStr">
        <is>
          <t>Remos</t>
        </is>
      </c>
      <c r="E128" s="2" t="inlineStr">
        <is>
          <t>Best</t>
        </is>
      </c>
      <c r="F128" s="3" t="n">
        <v>562.71</v>
      </c>
      <c r="G128" s="4" t="n">
        <v>-0.93</v>
      </c>
      <c r="H128" s="3" t="n">
        <v>1075.49</v>
      </c>
      <c r="I128" s="5" t="n">
        <v>248</v>
      </c>
    </row>
    <row r="129">
      <c r="A129" s="2" t="inlineStr">
        <is>
          <t>IRN-CAR-REM-0128</t>
        </is>
      </c>
      <c r="B129" s="2" t="inlineStr">
        <is>
          <t>IRONSIDE Magnetic Resistance Water Rower [BETTER]</t>
        </is>
      </c>
      <c r="C129" s="2" t="inlineStr">
        <is>
          <t>Cardio</t>
        </is>
      </c>
      <c r="D129" s="2" t="inlineStr">
        <is>
          <t>Remos</t>
        </is>
      </c>
      <c r="E129" s="2" t="inlineStr">
        <is>
          <t>Better</t>
        </is>
      </c>
      <c r="F129" s="3" t="n">
        <v>528.77</v>
      </c>
      <c r="G129" s="4" t="n">
        <v>-1</v>
      </c>
      <c r="H129" s="3" t="n">
        <v>831.84</v>
      </c>
      <c r="I129" s="5" t="n">
        <v>82</v>
      </c>
    </row>
    <row r="130">
      <c r="A130" s="2" t="inlineStr">
        <is>
          <t>IRN-CAR-REM-0129</t>
        </is>
      </c>
      <c r="B130" s="2" t="inlineStr">
        <is>
          <t>IRONSIDE Commercial Foldable Rower [BETTER]</t>
        </is>
      </c>
      <c r="C130" s="2" t="inlineStr">
        <is>
          <t>Cardio</t>
        </is>
      </c>
      <c r="D130" s="2" t="inlineStr">
        <is>
          <t>Remos</t>
        </is>
      </c>
      <c r="E130" s="2" t="inlineStr">
        <is>
          <t>Better</t>
        </is>
      </c>
      <c r="F130" s="3" t="n">
        <v>659.34</v>
      </c>
      <c r="G130" s="4" t="n">
        <v>-0.63</v>
      </c>
      <c r="H130" s="3" t="n">
        <v>1106.27</v>
      </c>
      <c r="I130" s="5" t="n">
        <v>112</v>
      </c>
    </row>
    <row r="131">
      <c r="A131" s="2" t="inlineStr">
        <is>
          <t>IRN-CAR-SKI-0130</t>
        </is>
      </c>
      <c r="B131" s="2" t="inlineStr">
        <is>
          <t>IRONSIDE Wall Mount Ski Ergometer [BETTER]</t>
        </is>
      </c>
      <c r="C131" s="2" t="inlineStr">
        <is>
          <t>Cardio</t>
        </is>
      </c>
      <c r="D131" s="2" t="inlineStr">
        <is>
          <t>Ski Trainers</t>
        </is>
      </c>
      <c r="E131" s="2" t="inlineStr">
        <is>
          <t>Better</t>
        </is>
      </c>
      <c r="F131" s="3" t="n">
        <v>756.9299999999999</v>
      </c>
      <c r="G131" s="4" t="n">
        <v>-0.82</v>
      </c>
      <c r="H131" s="3" t="n">
        <v>1234.67</v>
      </c>
      <c r="I131" s="5" t="n">
        <v>75</v>
      </c>
    </row>
    <row r="132">
      <c r="A132" s="2" t="inlineStr">
        <is>
          <t>IRN-CAR-SKI-0131</t>
        </is>
      </c>
      <c r="B132" s="2" t="inlineStr">
        <is>
          <t>IRONSIDE Floor Stand Platform Ski Erg [BEST]</t>
        </is>
      </c>
      <c r="C132" s="2" t="inlineStr">
        <is>
          <t>Cardio</t>
        </is>
      </c>
      <c r="D132" s="2" t="inlineStr">
        <is>
          <t>Ski Trainers</t>
        </is>
      </c>
      <c r="E132" s="2" t="inlineStr">
        <is>
          <t>Best</t>
        </is>
      </c>
      <c r="F132" s="3" t="n">
        <v>937.8</v>
      </c>
      <c r="G132" s="4" t="n">
        <v>-0.78</v>
      </c>
      <c r="H132" s="3" t="n">
        <v>1696</v>
      </c>
      <c r="I132" s="5" t="n">
        <v>177</v>
      </c>
    </row>
    <row r="133">
      <c r="A133" s="2" t="inlineStr">
        <is>
          <t>IRN-CAR-CIN-0132</t>
        </is>
      </c>
      <c r="B133" s="2" t="inlineStr">
        <is>
          <t>IRONSIDE Non-Motorized Commercial Curved Treadmill [GOOD]</t>
        </is>
      </c>
      <c r="C133" s="2" t="inlineStr">
        <is>
          <t>Cardio</t>
        </is>
      </c>
      <c r="D133" s="2" t="inlineStr">
        <is>
          <t>Cintas Curvas</t>
        </is>
      </c>
      <c r="E133" s="2" t="inlineStr">
        <is>
          <t>Good</t>
        </is>
      </c>
      <c r="F133" s="3" t="n">
        <v>941.6900000000001</v>
      </c>
      <c r="G133" s="4" t="n">
        <v>-1.02</v>
      </c>
      <c r="H133" s="3" t="n">
        <v>1322.45</v>
      </c>
      <c r="I133" s="5" t="n">
        <v>29</v>
      </c>
    </row>
    <row r="134">
      <c r="A134" s="2" t="inlineStr">
        <is>
          <t>IRN-CAR-CIN-0133</t>
        </is>
      </c>
      <c r="B134" s="2" t="inlineStr">
        <is>
          <t>IRONSIDE Pro Runner Self-Powered Slat Treadmill [BETTER]</t>
        </is>
      </c>
      <c r="C134" s="2" t="inlineStr">
        <is>
          <t>Cardio</t>
        </is>
      </c>
      <c r="D134" s="2" t="inlineStr">
        <is>
          <t>Cintas Curvas</t>
        </is>
      </c>
      <c r="E134" s="2" t="inlineStr">
        <is>
          <t>Better</t>
        </is>
      </c>
      <c r="F134" s="3" t="n">
        <v>1027.23</v>
      </c>
      <c r="G134" s="4" t="n">
        <v>-1.09</v>
      </c>
      <c r="H134" s="3" t="n">
        <v>1679.41</v>
      </c>
      <c r="I134" s="5" t="n">
        <v>58</v>
      </c>
    </row>
    <row r="135">
      <c r="A135" s="2" t="inlineStr">
        <is>
          <t>IRN-PES-POL-0134</t>
        </is>
      </c>
      <c r="B135" s="2" t="inlineStr">
        <is>
          <t>IRONSIDE Dual Adjustable Pulley 90kg x 2 [BETTER]</t>
        </is>
      </c>
      <c r="C135" s="2" t="inlineStr">
        <is>
          <t>Peso Integrado</t>
        </is>
      </c>
      <c r="D135" s="2" t="inlineStr">
        <is>
          <t>Poleas Funcionales</t>
        </is>
      </c>
      <c r="E135" s="2" t="inlineStr">
        <is>
          <t>Better</t>
        </is>
      </c>
      <c r="F135" s="3" t="n">
        <v>1187.01</v>
      </c>
      <c r="G135" s="4" t="n">
        <v>-0.92</v>
      </c>
      <c r="H135" s="3" t="n">
        <v>1928.48</v>
      </c>
      <c r="I135" s="5" t="n">
        <v>74</v>
      </c>
    </row>
    <row r="136">
      <c r="A136" s="2" t="inlineStr">
        <is>
          <t>IRN-PES-POL-0135</t>
        </is>
      </c>
      <c r="B136" s="2" t="inlineStr">
        <is>
          <t>IRONSIDE Functional Trainer Compact [GOOD]</t>
        </is>
      </c>
      <c r="C136" s="2" t="inlineStr">
        <is>
          <t>Peso Integrado</t>
        </is>
      </c>
      <c r="D136" s="2" t="inlineStr">
        <is>
          <t>Poleas Funcionales</t>
        </is>
      </c>
      <c r="E136" s="2" t="inlineStr">
        <is>
          <t>Good</t>
        </is>
      </c>
      <c r="F136" s="3" t="n">
        <v>888.89</v>
      </c>
      <c r="G136" s="4" t="n">
        <v>-0.87</v>
      </c>
      <c r="H136" s="3" t="n">
        <v>1351.73</v>
      </c>
      <c r="I136" s="5" t="n">
        <v>188</v>
      </c>
    </row>
    <row r="137">
      <c r="A137" s="2" t="inlineStr">
        <is>
          <t>IRN-PES-POL-0136</t>
        </is>
      </c>
      <c r="B137" s="2" t="inlineStr">
        <is>
          <t>IRONSIDE Cable Crossover Commercial [GOOD]</t>
        </is>
      </c>
      <c r="C137" s="2" t="inlineStr">
        <is>
          <t>Peso Integrado</t>
        </is>
      </c>
      <c r="D137" s="2" t="inlineStr">
        <is>
          <t>Poleas Funcionales</t>
        </is>
      </c>
      <c r="E137" s="2" t="inlineStr">
        <is>
          <t>Good</t>
        </is>
      </c>
      <c r="F137" s="3" t="n">
        <v>1797.85</v>
      </c>
      <c r="G137" s="4" t="n">
        <v>-1.05</v>
      </c>
      <c r="H137" s="3" t="n">
        <v>2597.67</v>
      </c>
      <c r="I137" s="5" t="n">
        <v>433</v>
      </c>
    </row>
    <row r="138">
      <c r="A138" s="2" t="inlineStr">
        <is>
          <t>IRN-PES-MÁQ-0137</t>
        </is>
      </c>
      <c r="B138" s="2" t="inlineStr">
        <is>
          <t>IRONSIDE Lat Pulldown / Low Row Combo 100kg [BEST]</t>
        </is>
      </c>
      <c r="C138" s="2" t="inlineStr">
        <is>
          <t>Peso Integrado</t>
        </is>
      </c>
      <c r="D138" s="2" t="inlineStr">
        <is>
          <t>Máquinas de Placas</t>
        </is>
      </c>
      <c r="E138" s="2" t="inlineStr">
        <is>
          <t>Best</t>
        </is>
      </c>
      <c r="F138" s="3" t="n">
        <v>942.48</v>
      </c>
      <c r="G138" s="4" t="n">
        <v>-0.98</v>
      </c>
      <c r="H138" s="3" t="n">
        <v>1716.07</v>
      </c>
      <c r="I138" s="5" t="n">
        <v>161</v>
      </c>
    </row>
    <row r="139">
      <c r="A139" s="2" t="inlineStr">
        <is>
          <t>IRN-PES-MÁQ-0138</t>
        </is>
      </c>
      <c r="B139" s="2" t="inlineStr">
        <is>
          <t>IRONSIDE Leg Extension / Leg Curl Combo [GOOD]</t>
        </is>
      </c>
      <c r="C139" s="2" t="inlineStr">
        <is>
          <t>Peso Integrado</t>
        </is>
      </c>
      <c r="D139" s="2" t="inlineStr">
        <is>
          <t>Máquinas de Placas</t>
        </is>
      </c>
      <c r="E139" s="2" t="inlineStr">
        <is>
          <t>Good</t>
        </is>
      </c>
      <c r="F139" s="3" t="n">
        <v>1307.31</v>
      </c>
      <c r="G139" s="4" t="n">
        <v>-0.86</v>
      </c>
      <c r="H139" s="3" t="n">
        <v>1993</v>
      </c>
      <c r="I139" s="5" t="n">
        <v>17</v>
      </c>
    </row>
    <row r="140">
      <c r="A140" s="2" t="inlineStr">
        <is>
          <t>IRN-PES-MÁQ-0139</t>
        </is>
      </c>
      <c r="B140" s="2" t="inlineStr">
        <is>
          <t>IRONSIDE Seated Chest Press 80kg [BETTER]</t>
        </is>
      </c>
      <c r="C140" s="2" t="inlineStr">
        <is>
          <t>Peso Integrado</t>
        </is>
      </c>
      <c r="D140" s="2" t="inlineStr">
        <is>
          <t>Máquinas de Placas</t>
        </is>
      </c>
      <c r="E140" s="2" t="inlineStr">
        <is>
          <t>Better</t>
        </is>
      </c>
      <c r="F140" s="3" t="n">
        <v>1528.19</v>
      </c>
      <c r="G140" s="4" t="n">
        <v>-0.66</v>
      </c>
      <c r="H140" s="3" t="n">
        <v>2507.7</v>
      </c>
      <c r="I140" s="5" t="n">
        <v>246</v>
      </c>
    </row>
    <row r="141">
      <c r="A141" s="2" t="inlineStr">
        <is>
          <t>IRN-PES-MÁQ-0140</t>
        </is>
      </c>
      <c r="B141" s="2" t="inlineStr">
        <is>
          <t>IRONSIDE Leg Press Hack Squat 45deg [BETTER]</t>
        </is>
      </c>
      <c r="C141" s="2" t="inlineStr">
        <is>
          <t>Peso Integrado</t>
        </is>
      </c>
      <c r="D141" s="2" t="inlineStr">
        <is>
          <t>Máquinas de Placas</t>
        </is>
      </c>
      <c r="E141" s="2" t="inlineStr">
        <is>
          <t>Better</t>
        </is>
      </c>
      <c r="F141" s="3" t="n">
        <v>854.98</v>
      </c>
      <c r="G141" s="4" t="n">
        <v>-0.79</v>
      </c>
      <c r="H141" s="3" t="n">
        <v>1353.31</v>
      </c>
      <c r="I141" s="5" t="n">
        <v>79</v>
      </c>
    </row>
    <row r="142">
      <c r="A142" s="2" t="inlineStr">
        <is>
          <t>IRN-PES-SMI-0141</t>
        </is>
      </c>
      <c r="B142" s="2" t="inlineStr">
        <is>
          <t>IRONSIDE Commercial Counter-Balanced Smith Machine [BETTER]</t>
        </is>
      </c>
      <c r="C142" s="2" t="inlineStr">
        <is>
          <t>Peso Integrado</t>
        </is>
      </c>
      <c r="D142" s="2" t="inlineStr">
        <is>
          <t>Smith Machines</t>
        </is>
      </c>
      <c r="E142" s="2" t="inlineStr">
        <is>
          <t>Better</t>
        </is>
      </c>
      <c r="F142" s="3" t="n">
        <v>1334.93</v>
      </c>
      <c r="G142" s="4" t="n">
        <v>-1.18</v>
      </c>
      <c r="H142" s="3" t="n">
        <v>2194.94</v>
      </c>
      <c r="I142" s="5" t="n">
        <v>180</v>
      </c>
    </row>
    <row r="143">
      <c r="A143" s="2" t="inlineStr">
        <is>
          <t>IRN-PES-SMI-0142</t>
        </is>
      </c>
      <c r="B143" s="2" t="inlineStr">
        <is>
          <t>IRONSIDE Multi-Power 3D Smith Machine [BETTER]</t>
        </is>
      </c>
      <c r="C143" s="2" t="inlineStr">
        <is>
          <t>Peso Integrado</t>
        </is>
      </c>
      <c r="D143" s="2" t="inlineStr">
        <is>
          <t>Smith Machines</t>
        </is>
      </c>
      <c r="E143" s="2" t="inlineStr">
        <is>
          <t>Better</t>
        </is>
      </c>
      <c r="F143" s="3" t="n">
        <v>629.7</v>
      </c>
      <c r="G143" s="4" t="n">
        <v>-0.75</v>
      </c>
      <c r="H143" s="3" t="n">
        <v>988.45</v>
      </c>
      <c r="I143" s="5" t="n">
        <v>98</v>
      </c>
    </row>
    <row r="144">
      <c r="A144" s="2" t="inlineStr">
        <is>
          <t>IRN-ACC-BAN-0143</t>
        </is>
      </c>
      <c r="B144" s="2" t="inlineStr">
        <is>
          <t>IRONSIDE Loop Resistance Bands 5-Pack [GOOD]</t>
        </is>
      </c>
      <c r="C144" s="2" t="inlineStr">
        <is>
          <t>Accesorios &amp; Movilidad</t>
        </is>
      </c>
      <c r="D144" s="2" t="inlineStr">
        <is>
          <t>Bandas y Agarre</t>
        </is>
      </c>
      <c r="E144" s="2" t="inlineStr">
        <is>
          <t>Good</t>
        </is>
      </c>
      <c r="F144" s="3" t="n">
        <v>7.62</v>
      </c>
      <c r="G144" s="4" t="n">
        <v>-2.47</v>
      </c>
      <c r="H144" s="3" t="n">
        <v>11.78</v>
      </c>
      <c r="I144" s="5" t="n">
        <v>248</v>
      </c>
    </row>
    <row r="145">
      <c r="A145" s="2" t="inlineStr">
        <is>
          <t>IRN-ACC-BAN-0144</t>
        </is>
      </c>
      <c r="B145" s="2" t="inlineStr">
        <is>
          <t>IRONSIDE Leather Lifting Straps [GOOD]</t>
        </is>
      </c>
      <c r="C145" s="2" t="inlineStr">
        <is>
          <t>Accesorios &amp; Movilidad</t>
        </is>
      </c>
      <c r="D145" s="2" t="inlineStr">
        <is>
          <t>Bandas y Agarre</t>
        </is>
      </c>
      <c r="E145" s="2" t="inlineStr">
        <is>
          <t>Good</t>
        </is>
      </c>
      <c r="F145" s="3" t="n">
        <v>27.56</v>
      </c>
      <c r="G145" s="4" t="n">
        <v>-2.39</v>
      </c>
      <c r="H145" s="3" t="n">
        <v>42.58</v>
      </c>
      <c r="I145" s="5" t="n">
        <v>237</v>
      </c>
    </row>
    <row r="146">
      <c r="A146" s="2" t="inlineStr">
        <is>
          <t>IRN-ACC-BAN-0145</t>
        </is>
      </c>
      <c r="B146" s="2" t="inlineStr">
        <is>
          <t>IRONSIDE Gym Chalk Block 8-Pack [GOOD]</t>
        </is>
      </c>
      <c r="C146" s="2" t="inlineStr">
        <is>
          <t>Accesorios &amp; Movilidad</t>
        </is>
      </c>
      <c r="D146" s="2" t="inlineStr">
        <is>
          <t>Bandas y Agarre</t>
        </is>
      </c>
      <c r="E146" s="2" t="inlineStr">
        <is>
          <t>Good</t>
        </is>
      </c>
      <c r="F146" s="3" t="n">
        <v>28.8</v>
      </c>
      <c r="G146" s="4" t="n">
        <v>-1.99</v>
      </c>
      <c r="H146" s="3" t="n">
        <v>44.5</v>
      </c>
      <c r="I146" s="5" t="n">
        <v>200</v>
      </c>
    </row>
    <row r="147">
      <c r="A147" s="2" t="inlineStr">
        <is>
          <t>IRN-ACC-BAN-0146</t>
        </is>
      </c>
      <c r="B147" s="2" t="inlineStr">
        <is>
          <t>IRONSIDE Barbell Collars Aluminum [BETTER]</t>
        </is>
      </c>
      <c r="C147" s="2" t="inlineStr">
        <is>
          <t>Accesorios &amp; Movilidad</t>
        </is>
      </c>
      <c r="D147" s="2" t="inlineStr">
        <is>
          <t>Bandas y Agarre</t>
        </is>
      </c>
      <c r="E147" s="2" t="inlineStr">
        <is>
          <t>Better</t>
        </is>
      </c>
      <c r="F147" s="3" t="n">
        <v>29.01</v>
      </c>
      <c r="G147" s="4" t="n">
        <v>-1.38</v>
      </c>
      <c r="H147" s="3" t="n">
        <v>45.36</v>
      </c>
      <c r="I147" s="5" t="n">
        <v>82</v>
      </c>
    </row>
    <row r="148">
      <c r="A148" s="2" t="inlineStr">
        <is>
          <t>IRN-ACC-BAN-0147</t>
        </is>
      </c>
      <c r="B148" s="2" t="inlineStr">
        <is>
          <t>IRONSIDE Weightlifting Belt 10mm [BETTER]</t>
        </is>
      </c>
      <c r="C148" s="2" t="inlineStr">
        <is>
          <t>Accesorios &amp; Movilidad</t>
        </is>
      </c>
      <c r="D148" s="2" t="inlineStr">
        <is>
          <t>Bandas y Agarre</t>
        </is>
      </c>
      <c r="E148" s="2" t="inlineStr">
        <is>
          <t>Better</t>
        </is>
      </c>
      <c r="F148" s="3" t="n">
        <v>24.05</v>
      </c>
      <c r="G148" s="4" t="n">
        <v>-1.63</v>
      </c>
      <c r="H148" s="3" t="n">
        <v>39.39</v>
      </c>
      <c r="I148" s="5" t="n">
        <v>110</v>
      </c>
    </row>
    <row r="149">
      <c r="A149" s="2" t="inlineStr">
        <is>
          <t>IRN-ACC-PIS-0148</t>
        </is>
      </c>
      <c r="B149" s="2" t="inlineStr">
        <is>
          <t>IRONSIDE Rubber Floor Roll 8mm (10m2) [GOOD]</t>
        </is>
      </c>
      <c r="C149" s="2" t="inlineStr">
        <is>
          <t>Accesorios &amp; Movilidad</t>
        </is>
      </c>
      <c r="D149" s="2" t="inlineStr">
        <is>
          <t>Pisos y Protección</t>
        </is>
      </c>
      <c r="E149" s="2" t="inlineStr">
        <is>
          <t>Good</t>
        </is>
      </c>
      <c r="F149" s="3" t="n">
        <v>32.41</v>
      </c>
      <c r="G149" s="4" t="n">
        <v>-2.02</v>
      </c>
      <c r="H149" s="3" t="n">
        <v>48.1</v>
      </c>
      <c r="I149" s="5" t="n">
        <v>71</v>
      </c>
    </row>
    <row r="150">
      <c r="A150" s="2" t="inlineStr">
        <is>
          <t>IRN-ACC-PIS-0149</t>
        </is>
      </c>
      <c r="B150" s="2" t="inlineStr">
        <is>
          <t>IRONSIDE High Impact Interlocking Tile 25mm 1x1m [BETTER]</t>
        </is>
      </c>
      <c r="C150" s="2" t="inlineStr">
        <is>
          <t>Accesorios &amp; Movilidad</t>
        </is>
      </c>
      <c r="D150" s="2" t="inlineStr">
        <is>
          <t>Pisos y Protección</t>
        </is>
      </c>
      <c r="E150" s="2" t="inlineStr">
        <is>
          <t>Better</t>
        </is>
      </c>
      <c r="F150" s="3" t="n">
        <v>88.84999999999999</v>
      </c>
      <c r="G150" s="4" t="n">
        <v>-1.13</v>
      </c>
      <c r="H150" s="3" t="n">
        <v>146.37</v>
      </c>
      <c r="I150" s="5" t="n">
        <v>26</v>
      </c>
    </row>
    <row r="151">
      <c r="A151" s="2" t="inlineStr">
        <is>
          <t>IRN-ACC-PIS-0150</t>
        </is>
      </c>
      <c r="B151" s="2" t="inlineStr">
        <is>
          <t>IRONSIDE Drop Pads Noise Dampening Pair [GOOD]</t>
        </is>
      </c>
      <c r="C151" s="2" t="inlineStr">
        <is>
          <t>Accesorios &amp; Movilidad</t>
        </is>
      </c>
      <c r="D151" s="2" t="inlineStr">
        <is>
          <t>Pisos y Protección</t>
        </is>
      </c>
      <c r="E151" s="2" t="inlineStr">
        <is>
          <t>Good</t>
        </is>
      </c>
      <c r="F151" s="3" t="n">
        <v>82.09</v>
      </c>
      <c r="G151" s="4" t="n">
        <v>-2.35</v>
      </c>
      <c r="H151" s="3" t="n">
        <v>125.85</v>
      </c>
      <c r="I151" s="5" t="n">
        <v>131</v>
      </c>
    </row>
    <row r="152">
      <c r="A152" s="2" t="inlineStr">
        <is>
          <t>IRN-ACC-BAL-0151</t>
        </is>
      </c>
      <c r="B152" s="2" t="inlineStr">
        <is>
          <t>IRONSIDE Slam Ball 5kg [BEST]</t>
        </is>
      </c>
      <c r="C152" s="2" t="inlineStr">
        <is>
          <t>Accesorios &amp; Movilidad</t>
        </is>
      </c>
      <c r="D152" s="2" t="inlineStr">
        <is>
          <t>Balones &amp; Plyo</t>
        </is>
      </c>
      <c r="E152" s="2" t="inlineStr">
        <is>
          <t>Best</t>
        </is>
      </c>
      <c r="F152" s="3" t="n">
        <v>78.14</v>
      </c>
      <c r="G152" s="4" t="n">
        <v>-0.95</v>
      </c>
      <c r="H152" s="3" t="n">
        <v>144.31</v>
      </c>
      <c r="I152" s="5" t="n">
        <v>241</v>
      </c>
    </row>
    <row r="153">
      <c r="A153" s="2" t="inlineStr">
        <is>
          <t>IRN-ACC-BAL-0152</t>
        </is>
      </c>
      <c r="B153" s="2" t="inlineStr">
        <is>
          <t>IRONSIDE Slam Ball 10kg [GOOD]</t>
        </is>
      </c>
      <c r="C153" s="2" t="inlineStr">
        <is>
          <t>Accesorios &amp; Movilidad</t>
        </is>
      </c>
      <c r="D153" s="2" t="inlineStr">
        <is>
          <t>Balones &amp; Plyo</t>
        </is>
      </c>
      <c r="E153" s="2" t="inlineStr">
        <is>
          <t>Good</t>
        </is>
      </c>
      <c r="F153" s="3" t="n">
        <v>46.03</v>
      </c>
      <c r="G153" s="4" t="n">
        <v>-2.54</v>
      </c>
      <c r="H153" s="3" t="n">
        <v>71.01000000000001</v>
      </c>
      <c r="I153" s="5" t="n">
        <v>109</v>
      </c>
    </row>
    <row r="154">
      <c r="A154" s="2" t="inlineStr">
        <is>
          <t>IRN-ACC-BAL-0153</t>
        </is>
      </c>
      <c r="B154" s="2" t="inlineStr">
        <is>
          <t>IRONSIDE Slam Ball 15kg [BETTER]</t>
        </is>
      </c>
      <c r="C154" s="2" t="inlineStr">
        <is>
          <t>Accesorios &amp; Movilidad</t>
        </is>
      </c>
      <c r="D154" s="2" t="inlineStr">
        <is>
          <t>Balones &amp; Plyo</t>
        </is>
      </c>
      <c r="E154" s="2" t="inlineStr">
        <is>
          <t>Better</t>
        </is>
      </c>
      <c r="F154" s="3" t="n">
        <v>32.36</v>
      </c>
      <c r="G154" s="4" t="n">
        <v>-1.11</v>
      </c>
      <c r="H154" s="3" t="n">
        <v>54.92</v>
      </c>
      <c r="I154" s="5" t="n">
        <v>245</v>
      </c>
    </row>
    <row r="155">
      <c r="A155" s="2" t="inlineStr">
        <is>
          <t>IRN-ACC-BAL-0154</t>
        </is>
      </c>
      <c r="B155" s="2" t="inlineStr">
        <is>
          <t>IRONSIDE Foam 3-in-1 Soft Plyo Box [BETTER]</t>
        </is>
      </c>
      <c r="C155" s="2" t="inlineStr">
        <is>
          <t>Accesorios &amp; Movilidad</t>
        </is>
      </c>
      <c r="D155" s="2" t="inlineStr">
        <is>
          <t>Balones &amp; Plyo</t>
        </is>
      </c>
      <c r="E155" s="2" t="inlineStr">
        <is>
          <t>Better</t>
        </is>
      </c>
      <c r="F155" s="3" t="n">
        <v>44.74</v>
      </c>
      <c r="G155" s="4" t="n">
        <v>-1.64</v>
      </c>
      <c r="H155" s="3" t="n">
        <v>70.17</v>
      </c>
      <c r="I155" s="5" t="n">
        <v>131</v>
      </c>
    </row>
    <row r="156">
      <c r="A156" s="2" t="inlineStr">
        <is>
          <t>IRN-ACC-BAL-0155</t>
        </is>
      </c>
      <c r="B156" s="2" t="inlineStr">
        <is>
          <t>IRONSIDE Wood CNC Plyo Box [GOOD]</t>
        </is>
      </c>
      <c r="C156" s="2" t="inlineStr">
        <is>
          <t>Accesorios &amp; Movilidad</t>
        </is>
      </c>
      <c r="D156" s="2" t="inlineStr">
        <is>
          <t>Balones &amp; Plyo</t>
        </is>
      </c>
      <c r="E156" s="2" t="inlineStr">
        <is>
          <t>Good</t>
        </is>
      </c>
      <c r="F156" s="3" t="n">
        <v>56.24</v>
      </c>
      <c r="G156" s="4" t="n">
        <v>-1.86</v>
      </c>
      <c r="H156" s="3" t="n">
        <v>79.16</v>
      </c>
      <c r="I156" s="5" t="n">
        <v>47</v>
      </c>
    </row>
    <row r="157">
      <c r="A157" s="2" t="inlineStr">
        <is>
          <t>IRN-ACC-BAL-0156</t>
        </is>
      </c>
      <c r="B157" s="2" t="inlineStr">
        <is>
          <t>IRONSIDE Wall Ball 9kg [GOOD]</t>
        </is>
      </c>
      <c r="C157" s="2" t="inlineStr">
        <is>
          <t>Accesorios &amp; Movilidad</t>
        </is>
      </c>
      <c r="D157" s="2" t="inlineStr">
        <is>
          <t>Balones &amp; Plyo</t>
        </is>
      </c>
      <c r="E157" s="2" t="inlineStr">
        <is>
          <t>Good</t>
        </is>
      </c>
      <c r="F157" s="3" t="n">
        <v>69.18000000000001</v>
      </c>
      <c r="G157" s="4" t="n">
        <v>-2.41</v>
      </c>
      <c r="H157" s="3" t="n">
        <v>102.94</v>
      </c>
      <c r="I157" s="5" t="n">
        <v>74</v>
      </c>
    </row>
    <row r="158">
      <c r="A158" s="2" t="inlineStr">
        <is>
          <t>IRN-FUE-BAR-0157</t>
        </is>
      </c>
      <c r="B158" s="2" t="inlineStr">
        <is>
          <t>IRONSIDE Cerakote 20kg [GOOD]</t>
        </is>
      </c>
      <c r="C158" s="2" t="inlineStr">
        <is>
          <t>Fuerza Libre</t>
        </is>
      </c>
      <c r="D158" s="2" t="inlineStr">
        <is>
          <t>Barras Olímpicas</t>
        </is>
      </c>
      <c r="E158" s="2" t="inlineStr">
        <is>
          <t>Good</t>
        </is>
      </c>
      <c r="F158" s="3" t="n">
        <v>141.59</v>
      </c>
      <c r="G158" s="4" t="n">
        <v>-2.15</v>
      </c>
      <c r="H158" s="3" t="n">
        <v>216.46</v>
      </c>
      <c r="I158" s="5" t="n">
        <v>48</v>
      </c>
    </row>
    <row r="159">
      <c r="A159" s="2" t="inlineStr">
        <is>
          <t>IRN-FUE-BAR-0158</t>
        </is>
      </c>
      <c r="B159" s="2" t="inlineStr">
        <is>
          <t>IRONSIDE Hard Chrome 20kg [BETTER]</t>
        </is>
      </c>
      <c r="C159" s="2" t="inlineStr">
        <is>
          <t>Fuerza Libre</t>
        </is>
      </c>
      <c r="D159" s="2" t="inlineStr">
        <is>
          <t>Barras Olímpicas</t>
        </is>
      </c>
      <c r="E159" s="2" t="inlineStr">
        <is>
          <t>Better</t>
        </is>
      </c>
      <c r="F159" s="3" t="n">
        <v>57.15</v>
      </c>
      <c r="G159" s="4" t="n">
        <v>-1.56</v>
      </c>
      <c r="H159" s="3" t="n">
        <v>89.70999999999999</v>
      </c>
      <c r="I159" s="5" t="n">
        <v>216</v>
      </c>
    </row>
    <row r="160">
      <c r="A160" s="2" t="inlineStr">
        <is>
          <t>IRN-FUE-BAR-0159</t>
        </is>
      </c>
      <c r="B160" s="2" t="inlineStr">
        <is>
          <t>IRONSIDE Women 15kg [GOOD]</t>
        </is>
      </c>
      <c r="C160" s="2" t="inlineStr">
        <is>
          <t>Fuerza Libre</t>
        </is>
      </c>
      <c r="D160" s="2" t="inlineStr">
        <is>
          <t>Barras Olímpicas</t>
        </is>
      </c>
      <c r="E160" s="2" t="inlineStr">
        <is>
          <t>Good</t>
        </is>
      </c>
      <c r="F160" s="3" t="n">
        <v>58.24</v>
      </c>
      <c r="G160" s="4" t="n">
        <v>-2.72</v>
      </c>
      <c r="H160" s="3" t="n">
        <v>88.02</v>
      </c>
      <c r="I160" s="5" t="n">
        <v>205</v>
      </c>
    </row>
    <row r="161">
      <c r="A161" s="2" t="inlineStr">
        <is>
          <t>IRN-FUE-BAR-0160</t>
        </is>
      </c>
      <c r="B161" s="2" t="inlineStr">
        <is>
          <t>IRONSIDE Trap Bar Hex [BETTER]</t>
        </is>
      </c>
      <c r="C161" s="2" t="inlineStr">
        <is>
          <t>Fuerza Libre</t>
        </is>
      </c>
      <c r="D161" s="2" t="inlineStr">
        <is>
          <t>Barras Olímpicas</t>
        </is>
      </c>
      <c r="E161" s="2" t="inlineStr">
        <is>
          <t>Better</t>
        </is>
      </c>
      <c r="F161" s="3" t="n">
        <v>89.65000000000001</v>
      </c>
      <c r="G161" s="4" t="n">
        <v>-1.67</v>
      </c>
      <c r="H161" s="3" t="n">
        <v>145.04</v>
      </c>
      <c r="I161" s="5" t="n">
        <v>172</v>
      </c>
    </row>
    <row r="162">
      <c r="A162" s="2" t="inlineStr">
        <is>
          <t>IRN-FUE-BAR-0161</t>
        </is>
      </c>
      <c r="B162" s="2" t="inlineStr">
        <is>
          <t>IRONSIDE EZ Curl Bar [BETTER]</t>
        </is>
      </c>
      <c r="C162" s="2" t="inlineStr">
        <is>
          <t>Fuerza Libre</t>
        </is>
      </c>
      <c r="D162" s="2" t="inlineStr">
        <is>
          <t>Barras Olímpicas</t>
        </is>
      </c>
      <c r="E162" s="2" t="inlineStr">
        <is>
          <t>Better</t>
        </is>
      </c>
      <c r="F162" s="3" t="n">
        <v>154.75</v>
      </c>
      <c r="G162" s="4" t="n">
        <v>-1.1</v>
      </c>
      <c r="H162" s="3" t="n">
        <v>250.49</v>
      </c>
      <c r="I162" s="5" t="n">
        <v>111</v>
      </c>
    </row>
    <row r="163">
      <c r="A163" s="2" t="inlineStr">
        <is>
          <t>IRN-FUE-BAR-0162</t>
        </is>
      </c>
      <c r="B163" s="2" t="inlineStr">
        <is>
          <t>IRONSIDE Shorty 10kg [BEST]</t>
        </is>
      </c>
      <c r="C163" s="2" t="inlineStr">
        <is>
          <t>Fuerza Libre</t>
        </is>
      </c>
      <c r="D163" s="2" t="inlineStr">
        <is>
          <t>Barras Olímpicas</t>
        </is>
      </c>
      <c r="E163" s="2" t="inlineStr">
        <is>
          <t>Best</t>
        </is>
      </c>
      <c r="F163" s="3" t="n">
        <v>113.31</v>
      </c>
      <c r="G163" s="4" t="n">
        <v>-1.15</v>
      </c>
      <c r="H163" s="3" t="n">
        <v>212.81</v>
      </c>
      <c r="I163" s="5" t="n">
        <v>245</v>
      </c>
    </row>
    <row r="164">
      <c r="A164" s="2" t="inlineStr">
        <is>
          <t>IRN-FUE-DIS-0163</t>
        </is>
      </c>
      <c r="B164" s="2" t="inlineStr">
        <is>
          <t>IRONSIDE Hi-Temp Recycled 5kg [BETTER]</t>
        </is>
      </c>
      <c r="C164" s="2" t="inlineStr">
        <is>
          <t>Fuerza Libre</t>
        </is>
      </c>
      <c r="D164" s="2" t="inlineStr">
        <is>
          <t>Discos Bumper</t>
        </is>
      </c>
      <c r="E164" s="2" t="inlineStr">
        <is>
          <t>Better</t>
        </is>
      </c>
      <c r="F164" s="3" t="n">
        <v>19.49</v>
      </c>
      <c r="G164" s="4" t="n">
        <v>-1.47</v>
      </c>
      <c r="H164" s="3" t="n">
        <v>32.06</v>
      </c>
      <c r="I164" s="5" t="n">
        <v>98</v>
      </c>
    </row>
    <row r="165">
      <c r="A165" s="2" t="inlineStr">
        <is>
          <t>IRN-FUE-DIS-0164</t>
        </is>
      </c>
      <c r="B165" s="2" t="inlineStr">
        <is>
          <t>IRONSIDE Hi-Temp 10kg [BETTER]</t>
        </is>
      </c>
      <c r="C165" s="2" t="inlineStr">
        <is>
          <t>Fuerza Libre</t>
        </is>
      </c>
      <c r="D165" s="2" t="inlineStr">
        <is>
          <t>Discos Bumper</t>
        </is>
      </c>
      <c r="E165" s="2" t="inlineStr">
        <is>
          <t>Better</t>
        </is>
      </c>
      <c r="F165" s="3" t="n">
        <v>47.51</v>
      </c>
      <c r="G165" s="4" t="n">
        <v>-1.19</v>
      </c>
      <c r="H165" s="3" t="n">
        <v>76.70999999999999</v>
      </c>
      <c r="I165" s="5" t="n">
        <v>44</v>
      </c>
    </row>
    <row r="166">
      <c r="A166" s="2" t="inlineStr">
        <is>
          <t>IRN-FUE-DIS-0165</t>
        </is>
      </c>
      <c r="B166" s="2" t="inlineStr">
        <is>
          <t>IRONSIDE Hi-Temp 15kg [BETTER]</t>
        </is>
      </c>
      <c r="C166" s="2" t="inlineStr">
        <is>
          <t>Fuerza Libre</t>
        </is>
      </c>
      <c r="D166" s="2" t="inlineStr">
        <is>
          <t>Discos Bumper</t>
        </is>
      </c>
      <c r="E166" s="2" t="inlineStr">
        <is>
          <t>Better</t>
        </is>
      </c>
      <c r="F166" s="3" t="n">
        <v>105.46</v>
      </c>
      <c r="G166" s="4" t="n">
        <v>-1.45</v>
      </c>
      <c r="H166" s="3" t="n">
        <v>166.86</v>
      </c>
      <c r="I166" s="5" t="n">
        <v>73</v>
      </c>
    </row>
    <row r="167">
      <c r="A167" s="2" t="inlineStr">
        <is>
          <t>IRN-FUE-DIS-0166</t>
        </is>
      </c>
      <c r="B167" s="2" t="inlineStr">
        <is>
          <t>IRONSIDE Hi-Temp 20kg [BEST]</t>
        </is>
      </c>
      <c r="C167" s="2" t="inlineStr">
        <is>
          <t>Fuerza Libre</t>
        </is>
      </c>
      <c r="D167" s="2" t="inlineStr">
        <is>
          <t>Discos Bumper</t>
        </is>
      </c>
      <c r="E167" s="2" t="inlineStr">
        <is>
          <t>Best</t>
        </is>
      </c>
      <c r="F167" s="3" t="n">
        <v>69.66</v>
      </c>
      <c r="G167" s="4" t="n">
        <v>-0.98</v>
      </c>
      <c r="H167" s="3" t="n">
        <v>123.87</v>
      </c>
      <c r="I167" s="5" t="n">
        <v>80</v>
      </c>
    </row>
    <row r="168">
      <c r="A168" s="2" t="inlineStr">
        <is>
          <t>IRN-FUE-DIS-0167</t>
        </is>
      </c>
      <c r="B168" s="2" t="inlineStr">
        <is>
          <t>IRONSIDE Hi-Temp 25kg [GOOD]</t>
        </is>
      </c>
      <c r="C168" s="2" t="inlineStr">
        <is>
          <t>Fuerza Libre</t>
        </is>
      </c>
      <c r="D168" s="2" t="inlineStr">
        <is>
          <t>Discos Bumper</t>
        </is>
      </c>
      <c r="E168" s="2" t="inlineStr">
        <is>
          <t>Good</t>
        </is>
      </c>
      <c r="F168" s="3" t="n">
        <v>110.62</v>
      </c>
      <c r="G168" s="4" t="n">
        <v>-1.91</v>
      </c>
      <c r="H168" s="3" t="n">
        <v>168.67</v>
      </c>
      <c r="I168" s="5" t="n">
        <v>39</v>
      </c>
    </row>
    <row r="169">
      <c r="A169" s="2" t="inlineStr">
        <is>
          <t>IRN-FUE-DIS-0168</t>
        </is>
      </c>
      <c r="B169" s="2" t="inlineStr">
        <is>
          <t>IRONSIDE Competition Urethane 10kg [BETTER]</t>
        </is>
      </c>
      <c r="C169" s="2" t="inlineStr">
        <is>
          <t>Fuerza Libre</t>
        </is>
      </c>
      <c r="D169" s="2" t="inlineStr">
        <is>
          <t>Discos Bumper</t>
        </is>
      </c>
      <c r="E169" s="2" t="inlineStr">
        <is>
          <t>Better</t>
        </is>
      </c>
      <c r="F169" s="3" t="n">
        <v>27.37</v>
      </c>
      <c r="G169" s="4" t="n">
        <v>-1.63</v>
      </c>
      <c r="H169" s="3" t="n">
        <v>46.35</v>
      </c>
      <c r="I169" s="5" t="n">
        <v>186</v>
      </c>
    </row>
    <row r="170">
      <c r="A170" s="2" t="inlineStr">
        <is>
          <t>IRN-FUE-DIS-0169</t>
        </is>
      </c>
      <c r="B170" s="2" t="inlineStr">
        <is>
          <t>IRONSIDE Competition Urethane 20kg [BETTER]</t>
        </is>
      </c>
      <c r="C170" s="2" t="inlineStr">
        <is>
          <t>Fuerza Libre</t>
        </is>
      </c>
      <c r="D170" s="2" t="inlineStr">
        <is>
          <t>Discos Bumper</t>
        </is>
      </c>
      <c r="E170" s="2" t="inlineStr">
        <is>
          <t>Better</t>
        </is>
      </c>
      <c r="F170" s="3" t="n">
        <v>92.79000000000001</v>
      </c>
      <c r="G170" s="4" t="n">
        <v>-1.34</v>
      </c>
      <c r="H170" s="3" t="n">
        <v>155.91</v>
      </c>
      <c r="I170" s="5" t="n">
        <v>88</v>
      </c>
    </row>
    <row r="171">
      <c r="A171" s="2" t="inlineStr">
        <is>
          <t>IRN-FUE-DIS-0170</t>
        </is>
      </c>
      <c r="B171" s="2" t="inlineStr">
        <is>
          <t>IRONSIDE Fractional Plate Set [BETTER]</t>
        </is>
      </c>
      <c r="C171" s="2" t="inlineStr">
        <is>
          <t>Fuerza Libre</t>
        </is>
      </c>
      <c r="D171" s="2" t="inlineStr">
        <is>
          <t>Discos Bumper</t>
        </is>
      </c>
      <c r="E171" s="2" t="inlineStr">
        <is>
          <t>Better</t>
        </is>
      </c>
      <c r="F171" s="3" t="n">
        <v>82.09999999999999</v>
      </c>
      <c r="G171" s="4" t="n">
        <v>-1.49</v>
      </c>
      <c r="H171" s="3" t="n">
        <v>135.34</v>
      </c>
      <c r="I171" s="5" t="n">
        <v>42</v>
      </c>
    </row>
    <row r="172">
      <c r="A172" s="2" t="inlineStr">
        <is>
          <t>IRN-FUE-MAN-0171</t>
        </is>
      </c>
      <c r="B172" s="2" t="inlineStr">
        <is>
          <t>IRONSIDE Hex Dumbbell 2.5kg [BETTER]</t>
        </is>
      </c>
      <c r="C172" s="2" t="inlineStr">
        <is>
          <t>Fuerza Libre</t>
        </is>
      </c>
      <c r="D172" s="2" t="inlineStr">
        <is>
          <t>Mancuernas</t>
        </is>
      </c>
      <c r="E172" s="2" t="inlineStr">
        <is>
          <t>Better</t>
        </is>
      </c>
      <c r="F172" s="3" t="n">
        <v>18.83</v>
      </c>
      <c r="G172" s="4" t="n">
        <v>-1.12</v>
      </c>
      <c r="H172" s="3" t="n">
        <v>29.83</v>
      </c>
      <c r="I172" s="5" t="n">
        <v>158</v>
      </c>
    </row>
    <row r="173">
      <c r="A173" s="2" t="inlineStr">
        <is>
          <t>IRN-FUE-MAN-0172</t>
        </is>
      </c>
      <c r="B173" s="2" t="inlineStr">
        <is>
          <t>IRONSIDE Hex Dumbbell 5kg [BEST]</t>
        </is>
      </c>
      <c r="C173" s="2" t="inlineStr">
        <is>
          <t>Fuerza Libre</t>
        </is>
      </c>
      <c r="D173" s="2" t="inlineStr">
        <is>
          <t>Mancuernas</t>
        </is>
      </c>
      <c r="E173" s="2" t="inlineStr">
        <is>
          <t>Best</t>
        </is>
      </c>
      <c r="F173" s="3" t="n">
        <v>78</v>
      </c>
      <c r="G173" s="4" t="n">
        <v>-1.04</v>
      </c>
      <c r="H173" s="3" t="n">
        <v>133.11</v>
      </c>
      <c r="I173" s="5" t="n">
        <v>435</v>
      </c>
    </row>
    <row r="174">
      <c r="A174" s="2" t="inlineStr">
        <is>
          <t>IRN-FUE-MAN-0173</t>
        </is>
      </c>
      <c r="B174" s="2" t="inlineStr">
        <is>
          <t>IRONSIDE Hex Dumbbell 10kg [GOOD]</t>
        </is>
      </c>
      <c r="C174" s="2" t="inlineStr">
        <is>
          <t>Fuerza Libre</t>
        </is>
      </c>
      <c r="D174" s="2" t="inlineStr">
        <is>
          <t>Mancuernas</t>
        </is>
      </c>
      <c r="E174" s="2" t="inlineStr">
        <is>
          <t>Good</t>
        </is>
      </c>
      <c r="F174" s="3" t="n">
        <v>67.72</v>
      </c>
      <c r="G174" s="4" t="n">
        <v>-2.63</v>
      </c>
      <c r="H174" s="3" t="n">
        <v>98.26000000000001</v>
      </c>
      <c r="I174" s="5" t="n">
        <v>237</v>
      </c>
    </row>
    <row r="175">
      <c r="A175" s="2" t="inlineStr">
        <is>
          <t>IRN-FUE-MAN-0174</t>
        </is>
      </c>
      <c r="B175" s="2" t="inlineStr">
        <is>
          <t>IRONSIDE Hex Dumbbell 15kg [BETTER]</t>
        </is>
      </c>
      <c r="C175" s="2" t="inlineStr">
        <is>
          <t>Fuerza Libre</t>
        </is>
      </c>
      <c r="D175" s="2" t="inlineStr">
        <is>
          <t>Mancuernas</t>
        </is>
      </c>
      <c r="E175" s="2" t="inlineStr">
        <is>
          <t>Better</t>
        </is>
      </c>
      <c r="F175" s="3" t="n">
        <v>14.42</v>
      </c>
      <c r="G175" s="4" t="n">
        <v>-1.57</v>
      </c>
      <c r="H175" s="3" t="n">
        <v>24.45</v>
      </c>
      <c r="I175" s="5" t="n">
        <v>150</v>
      </c>
    </row>
    <row r="176">
      <c r="A176" s="2" t="inlineStr">
        <is>
          <t>IRN-FUE-MAN-0175</t>
        </is>
      </c>
      <c r="B176" s="2" t="inlineStr">
        <is>
          <t>IRONSIDE Hex Dumbbell 20kg [BETTER]</t>
        </is>
      </c>
      <c r="C176" s="2" t="inlineStr">
        <is>
          <t>Fuerza Libre</t>
        </is>
      </c>
      <c r="D176" s="2" t="inlineStr">
        <is>
          <t>Mancuernas</t>
        </is>
      </c>
      <c r="E176" s="2" t="inlineStr">
        <is>
          <t>Better</t>
        </is>
      </c>
      <c r="F176" s="3" t="n">
        <v>40.85</v>
      </c>
      <c r="G176" s="4" t="n">
        <v>-1.34</v>
      </c>
      <c r="H176" s="3" t="n">
        <v>67.73999999999999</v>
      </c>
      <c r="I176" s="5" t="n">
        <v>160</v>
      </c>
    </row>
    <row r="177">
      <c r="A177" s="2" t="inlineStr">
        <is>
          <t>IRN-FUE-MAN-0176</t>
        </is>
      </c>
      <c r="B177" s="2" t="inlineStr">
        <is>
          <t>IRONSIDE Hex Dumbbell 25kg [BEST]</t>
        </is>
      </c>
      <c r="C177" s="2" t="inlineStr">
        <is>
          <t>Fuerza Libre</t>
        </is>
      </c>
      <c r="D177" s="2" t="inlineStr">
        <is>
          <t>Mancuernas</t>
        </is>
      </c>
      <c r="E177" s="2" t="inlineStr">
        <is>
          <t>Best</t>
        </is>
      </c>
      <c r="F177" s="3" t="n">
        <v>26.38</v>
      </c>
      <c r="G177" s="4" t="n">
        <v>-0.8</v>
      </c>
      <c r="H177" s="3" t="n">
        <v>45.17</v>
      </c>
      <c r="I177" s="5" t="n">
        <v>128</v>
      </c>
    </row>
    <row r="178">
      <c r="A178" s="2" t="inlineStr">
        <is>
          <t>IRN-FUE-MAN-0177</t>
        </is>
      </c>
      <c r="B178" s="2" t="inlineStr">
        <is>
          <t>IRONSIDE Hex Dumbbell 30kg [BETTER]</t>
        </is>
      </c>
      <c r="C178" s="2" t="inlineStr">
        <is>
          <t>Fuerza Libre</t>
        </is>
      </c>
      <c r="D178" s="2" t="inlineStr">
        <is>
          <t>Mancuernas</t>
        </is>
      </c>
      <c r="E178" s="2" t="inlineStr">
        <is>
          <t>Better</t>
        </is>
      </c>
      <c r="F178" s="3" t="n">
        <v>50.7</v>
      </c>
      <c r="G178" s="4" t="n">
        <v>-1.63</v>
      </c>
      <c r="H178" s="3" t="n">
        <v>84.33</v>
      </c>
      <c r="I178" s="5" t="n">
        <v>125</v>
      </c>
    </row>
    <row r="179">
      <c r="A179" s="2" t="inlineStr">
        <is>
          <t>IRN-FUE-MAN-0178</t>
        </is>
      </c>
      <c r="B179" s="2" t="inlineStr">
        <is>
          <t>IRONSIDE Round Urethane Dumbbell 20kg [BETTER]</t>
        </is>
      </c>
      <c r="C179" s="2" t="inlineStr">
        <is>
          <t>Fuerza Libre</t>
        </is>
      </c>
      <c r="D179" s="2" t="inlineStr">
        <is>
          <t>Mancuernas</t>
        </is>
      </c>
      <c r="E179" s="2" t="inlineStr">
        <is>
          <t>Better</t>
        </is>
      </c>
      <c r="F179" s="3" t="n">
        <v>65.42</v>
      </c>
      <c r="G179" s="4" t="n">
        <v>-1.67</v>
      </c>
      <c r="H179" s="3" t="n">
        <v>104.43</v>
      </c>
      <c r="I179" s="5" t="n">
        <v>168</v>
      </c>
    </row>
    <row r="180">
      <c r="A180" s="2" t="inlineStr">
        <is>
          <t>IRN-FUE-KET-0179</t>
        </is>
      </c>
      <c r="B180" s="2" t="inlineStr">
        <is>
          <t>IRONSIDE Competition Russian 8kg [GOOD]</t>
        </is>
      </c>
      <c r="C180" s="2" t="inlineStr">
        <is>
          <t>Fuerza Libre</t>
        </is>
      </c>
      <c r="D180" s="2" t="inlineStr">
        <is>
          <t>Kettlebells</t>
        </is>
      </c>
      <c r="E180" s="2" t="inlineStr">
        <is>
          <t>Good</t>
        </is>
      </c>
      <c r="F180" s="3" t="n">
        <v>77.03</v>
      </c>
      <c r="G180" s="4" t="n">
        <v>-2.79</v>
      </c>
      <c r="H180" s="3" t="n">
        <v>116.67</v>
      </c>
      <c r="I180" s="5" t="n">
        <v>45</v>
      </c>
    </row>
    <row r="181">
      <c r="A181" s="2" t="inlineStr">
        <is>
          <t>IRN-FUE-KET-0180</t>
        </is>
      </c>
      <c r="B181" s="2" t="inlineStr">
        <is>
          <t>IRONSIDE Competition Russian 12kg [BETTER]</t>
        </is>
      </c>
      <c r="C181" s="2" t="inlineStr">
        <is>
          <t>Fuerza Libre</t>
        </is>
      </c>
      <c r="D181" s="2" t="inlineStr">
        <is>
          <t>Kettlebells</t>
        </is>
      </c>
      <c r="E181" s="2" t="inlineStr">
        <is>
          <t>Better</t>
        </is>
      </c>
      <c r="F181" s="3" t="n">
        <v>27.75</v>
      </c>
      <c r="G181" s="4" t="n">
        <v>-1.3</v>
      </c>
      <c r="H181" s="3" t="n">
        <v>45.94</v>
      </c>
      <c r="I181" s="5" t="n">
        <v>228</v>
      </c>
    </row>
    <row r="182">
      <c r="A182" s="2" t="inlineStr">
        <is>
          <t>IRN-FUE-KET-0181</t>
        </is>
      </c>
      <c r="B182" s="2" t="inlineStr">
        <is>
          <t>IRONSIDE Competition Russian 16kg [BETTER]</t>
        </is>
      </c>
      <c r="C182" s="2" t="inlineStr">
        <is>
          <t>Fuerza Libre</t>
        </is>
      </c>
      <c r="D182" s="2" t="inlineStr">
        <is>
          <t>Kettlebells</t>
        </is>
      </c>
      <c r="E182" s="2" t="inlineStr">
        <is>
          <t>Better</t>
        </is>
      </c>
      <c r="F182" s="3" t="n">
        <v>44.66</v>
      </c>
      <c r="G182" s="4" t="n">
        <v>-1.18</v>
      </c>
      <c r="H182" s="3" t="n">
        <v>72.15000000000001</v>
      </c>
      <c r="I182" s="5" t="n">
        <v>34</v>
      </c>
    </row>
    <row r="183">
      <c r="A183" s="2" t="inlineStr">
        <is>
          <t>IRN-FUE-KET-0182</t>
        </is>
      </c>
      <c r="B183" s="2" t="inlineStr">
        <is>
          <t>IRONSIDE Competition Russian 20kg [BETTER]</t>
        </is>
      </c>
      <c r="C183" s="2" t="inlineStr">
        <is>
          <t>Fuerza Libre</t>
        </is>
      </c>
      <c r="D183" s="2" t="inlineStr">
        <is>
          <t>Kettlebells</t>
        </is>
      </c>
      <c r="E183" s="2" t="inlineStr">
        <is>
          <t>Better</t>
        </is>
      </c>
      <c r="F183" s="3" t="n">
        <v>58.13</v>
      </c>
      <c r="G183" s="4" t="n">
        <v>-1.12</v>
      </c>
      <c r="H183" s="3" t="n">
        <v>93.73999999999999</v>
      </c>
      <c r="I183" s="5" t="n">
        <v>20</v>
      </c>
    </row>
    <row r="184">
      <c r="A184" s="2" t="inlineStr">
        <is>
          <t>IRN-FUE-KET-0183</t>
        </is>
      </c>
      <c r="B184" s="2" t="inlineStr">
        <is>
          <t>IRONSIDE Competition Russian 24kg [GOOD]</t>
        </is>
      </c>
      <c r="C184" s="2" t="inlineStr">
        <is>
          <t>Fuerza Libre</t>
        </is>
      </c>
      <c r="D184" s="2" t="inlineStr">
        <is>
          <t>Kettlebells</t>
        </is>
      </c>
      <c r="E184" s="2" t="inlineStr">
        <is>
          <t>Good</t>
        </is>
      </c>
      <c r="F184" s="3" t="n">
        <v>77.19</v>
      </c>
      <c r="G184" s="4" t="n">
        <v>-1.79</v>
      </c>
      <c r="H184" s="3" t="n">
        <v>116.05</v>
      </c>
      <c r="I184" s="5" t="n">
        <v>126</v>
      </c>
    </row>
    <row r="185">
      <c r="A185" s="2" t="inlineStr">
        <is>
          <t>IRN-FUE-KET-0184</t>
        </is>
      </c>
      <c r="B185" s="2" t="inlineStr">
        <is>
          <t>IRONSIDE Competition Russian 32kg [GOOD]</t>
        </is>
      </c>
      <c r="C185" s="2" t="inlineStr">
        <is>
          <t>Fuerza Libre</t>
        </is>
      </c>
      <c r="D185" s="2" t="inlineStr">
        <is>
          <t>Kettlebells</t>
        </is>
      </c>
      <c r="E185" s="2" t="inlineStr">
        <is>
          <t>Good</t>
        </is>
      </c>
      <c r="F185" s="3" t="n">
        <v>52.79</v>
      </c>
      <c r="G185" s="4" t="n">
        <v>-2.53</v>
      </c>
      <c r="H185" s="3" t="n">
        <v>77.04000000000001</v>
      </c>
      <c r="I185" s="5" t="n">
        <v>101</v>
      </c>
    </row>
    <row r="186">
      <c r="A186" s="2" t="inlineStr">
        <is>
          <t>IRN-FUE-KET-0185</t>
        </is>
      </c>
      <c r="B186" s="2" t="inlineStr">
        <is>
          <t>IRONSIDE Cast Iron Powder Coat 16kg [BETTER]</t>
        </is>
      </c>
      <c r="C186" s="2" t="inlineStr">
        <is>
          <t>Fuerza Libre</t>
        </is>
      </c>
      <c r="D186" s="2" t="inlineStr">
        <is>
          <t>Kettlebells</t>
        </is>
      </c>
      <c r="E186" s="2" t="inlineStr">
        <is>
          <t>Better</t>
        </is>
      </c>
      <c r="F186" s="3" t="n">
        <v>20.16</v>
      </c>
      <c r="G186" s="4" t="n">
        <v>-1.49</v>
      </c>
      <c r="H186" s="3" t="n">
        <v>32.85</v>
      </c>
      <c r="I186" s="5" t="n">
        <v>213</v>
      </c>
    </row>
    <row r="187">
      <c r="A187" s="2" t="inlineStr">
        <is>
          <t>IRN-RAC-POW-0186</t>
        </is>
      </c>
      <c r="B187" s="2" t="inlineStr">
        <is>
          <t>IRONSIDE Commercial Monster Rack 3x3 [BETTER]</t>
        </is>
      </c>
      <c r="C187" s="2" t="inlineStr">
        <is>
          <t>Racks &amp; Estructuras</t>
        </is>
      </c>
      <c r="D187" s="2" t="inlineStr">
        <is>
          <t>Power Racks</t>
        </is>
      </c>
      <c r="E187" s="2" t="inlineStr">
        <is>
          <t>Better</t>
        </is>
      </c>
      <c r="F187" s="3" t="n">
        <v>903.53</v>
      </c>
      <c r="G187" s="4" t="n">
        <v>-1.6</v>
      </c>
      <c r="H187" s="3" t="n">
        <v>1432.49</v>
      </c>
      <c r="I187" s="5" t="n">
        <v>65</v>
      </c>
    </row>
    <row r="188">
      <c r="A188" s="2" t="inlineStr">
        <is>
          <t>IRN-RAC-POW-0187</t>
        </is>
      </c>
      <c r="B188" s="2" t="inlineStr">
        <is>
          <t>IRONSIDE Standard Power Cage 75x75 [GOOD]</t>
        </is>
      </c>
      <c r="C188" s="2" t="inlineStr">
        <is>
          <t>Racks &amp; Estructuras</t>
        </is>
      </c>
      <c r="D188" s="2" t="inlineStr">
        <is>
          <t>Power Racks</t>
        </is>
      </c>
      <c r="E188" s="2" t="inlineStr">
        <is>
          <t>Good</t>
        </is>
      </c>
      <c r="F188" s="3" t="n">
        <v>760.99</v>
      </c>
      <c r="G188" s="4" t="n">
        <v>-1.25</v>
      </c>
      <c r="H188" s="3" t="n">
        <v>1173.97</v>
      </c>
      <c r="I188" s="5" t="n">
        <v>133</v>
      </c>
    </row>
    <row r="189">
      <c r="A189" s="2" t="inlineStr">
        <is>
          <t>IRN-RAC-POW-0188</t>
        </is>
      </c>
      <c r="B189" s="2" t="inlineStr">
        <is>
          <t>IRONSIDE Half Rack Commercial [BETTER]</t>
        </is>
      </c>
      <c r="C189" s="2" t="inlineStr">
        <is>
          <t>Racks &amp; Estructuras</t>
        </is>
      </c>
      <c r="D189" s="2" t="inlineStr">
        <is>
          <t>Power Racks</t>
        </is>
      </c>
      <c r="E189" s="2" t="inlineStr">
        <is>
          <t>Better</t>
        </is>
      </c>
      <c r="F189" s="3" t="n">
        <v>603.15</v>
      </c>
      <c r="G189" s="4" t="n">
        <v>-1.51</v>
      </c>
      <c r="H189" s="3" t="n">
        <v>985.95</v>
      </c>
      <c r="I189" s="5" t="n">
        <v>174</v>
      </c>
    </row>
    <row r="190">
      <c r="A190" s="2" t="inlineStr">
        <is>
          <t>IRN-RAC-POW-0189</t>
        </is>
      </c>
      <c r="B190" s="2" t="inlineStr">
        <is>
          <t>IRONSIDE Wall-Mount Folding Rack [BEST]</t>
        </is>
      </c>
      <c r="C190" s="2" t="inlineStr">
        <is>
          <t>Racks &amp; Estructuras</t>
        </is>
      </c>
      <c r="D190" s="2" t="inlineStr">
        <is>
          <t>Power Racks</t>
        </is>
      </c>
      <c r="E190" s="2" t="inlineStr">
        <is>
          <t>Best</t>
        </is>
      </c>
      <c r="F190" s="3" t="n">
        <v>573.1799999999999</v>
      </c>
      <c r="G190" s="4" t="n">
        <v>-1.04</v>
      </c>
      <c r="H190" s="3" t="n">
        <v>1041.6</v>
      </c>
      <c r="I190" s="5" t="n">
        <v>218</v>
      </c>
    </row>
    <row r="191">
      <c r="A191" s="2" t="inlineStr">
        <is>
          <t>IRN-RAC-SQU-0190</t>
        </is>
      </c>
      <c r="B191" s="2" t="inlineStr">
        <is>
          <t>IRONSIDE Independent Squat Stand Pro [GOOD]</t>
        </is>
      </c>
      <c r="C191" s="2" t="inlineStr">
        <is>
          <t>Racks &amp; Estructuras</t>
        </is>
      </c>
      <c r="D191" s="2" t="inlineStr">
        <is>
          <t>Squat Stands</t>
        </is>
      </c>
      <c r="E191" s="2" t="inlineStr">
        <is>
          <t>Good</t>
        </is>
      </c>
      <c r="F191" s="3" t="n">
        <v>209.93</v>
      </c>
      <c r="G191" s="4" t="n">
        <v>-1.53</v>
      </c>
      <c r="H191" s="3" t="n">
        <v>308.13</v>
      </c>
      <c r="I191" s="5" t="n">
        <v>227</v>
      </c>
    </row>
    <row r="192">
      <c r="A192" s="2" t="inlineStr">
        <is>
          <t>IRN-RAC-SQU-0191</t>
        </is>
      </c>
      <c r="B192" s="2" t="inlineStr">
        <is>
          <t>IRONSIDE Yoke Squat Stand Heavy [BETTER]</t>
        </is>
      </c>
      <c r="C192" s="2" t="inlineStr">
        <is>
          <t>Racks &amp; Estructuras</t>
        </is>
      </c>
      <c r="D192" s="2" t="inlineStr">
        <is>
          <t>Squat Stands</t>
        </is>
      </c>
      <c r="E192" s="2" t="inlineStr">
        <is>
          <t>Better</t>
        </is>
      </c>
      <c r="F192" s="3" t="n">
        <v>357.06</v>
      </c>
      <c r="G192" s="4" t="n">
        <v>-1.37</v>
      </c>
      <c r="H192" s="3" t="n">
        <v>585.26</v>
      </c>
      <c r="I192" s="5" t="n">
        <v>163</v>
      </c>
    </row>
    <row r="193">
      <c r="A193" s="2" t="inlineStr">
        <is>
          <t>IRN-RAC-SQU-0192</t>
        </is>
      </c>
      <c r="B193" s="2" t="inlineStr">
        <is>
          <t>IRONSIDE Compact Stand Home Gym [BETTER]</t>
        </is>
      </c>
      <c r="C193" s="2" t="inlineStr">
        <is>
          <t>Racks &amp; Estructuras</t>
        </is>
      </c>
      <c r="D193" s="2" t="inlineStr">
        <is>
          <t>Squat Stands</t>
        </is>
      </c>
      <c r="E193" s="2" t="inlineStr">
        <is>
          <t>Better</t>
        </is>
      </c>
      <c r="F193" s="3" t="n">
        <v>336.05</v>
      </c>
      <c r="G193" s="4" t="n">
        <v>-1.34</v>
      </c>
      <c r="H193" s="3" t="n">
        <v>561.7</v>
      </c>
      <c r="I193" s="5" t="n">
        <v>97</v>
      </c>
    </row>
    <row r="194">
      <c r="A194" s="2" t="inlineStr">
        <is>
          <t>IRN-RAC-BAN-0193</t>
        </is>
      </c>
      <c r="B194" s="2" t="inlineStr">
        <is>
          <t>IRONSIDE Flat Competition Bench [BETTER]</t>
        </is>
      </c>
      <c r="C194" s="2" t="inlineStr">
        <is>
          <t>Racks &amp; Estructuras</t>
        </is>
      </c>
      <c r="D194" s="2" t="inlineStr">
        <is>
          <t>Bancos</t>
        </is>
      </c>
      <c r="E194" s="2" t="inlineStr">
        <is>
          <t>Better</t>
        </is>
      </c>
      <c r="F194" s="3" t="n">
        <v>295.3</v>
      </c>
      <c r="G194" s="4" t="n">
        <v>-1.65</v>
      </c>
      <c r="H194" s="3" t="n">
        <v>493.64</v>
      </c>
      <c r="I194" s="5" t="n">
        <v>197</v>
      </c>
    </row>
    <row r="195">
      <c r="A195" s="2" t="inlineStr">
        <is>
          <t>IRN-RAC-BAN-0194</t>
        </is>
      </c>
      <c r="B195" s="2" t="inlineStr">
        <is>
          <t>IRONSIDE Adjustable Incline/Decline FID Bench [BETTER]</t>
        </is>
      </c>
      <c r="C195" s="2" t="inlineStr">
        <is>
          <t>Racks &amp; Estructuras</t>
        </is>
      </c>
      <c r="D195" s="2" t="inlineStr">
        <is>
          <t>Bancos</t>
        </is>
      </c>
      <c r="E195" s="2" t="inlineStr">
        <is>
          <t>Better</t>
        </is>
      </c>
      <c r="F195" s="3" t="n">
        <v>71.61</v>
      </c>
      <c r="G195" s="4" t="n">
        <v>-1.6</v>
      </c>
      <c r="H195" s="3" t="n">
        <v>121.64</v>
      </c>
      <c r="I195" s="5" t="n">
        <v>171</v>
      </c>
    </row>
    <row r="196">
      <c r="A196" s="2" t="inlineStr">
        <is>
          <t>IRN-RAC-BAN-0195</t>
        </is>
      </c>
      <c r="B196" s="2" t="inlineStr">
        <is>
          <t>IRONSIDE Zero Gap Commercial Bench [BETTER]</t>
        </is>
      </c>
      <c r="C196" s="2" t="inlineStr">
        <is>
          <t>Racks &amp; Estructuras</t>
        </is>
      </c>
      <c r="D196" s="2" t="inlineStr">
        <is>
          <t>Bancos</t>
        </is>
      </c>
      <c r="E196" s="2" t="inlineStr">
        <is>
          <t>Better</t>
        </is>
      </c>
      <c r="F196" s="3" t="n">
        <v>130.97</v>
      </c>
      <c r="G196" s="4" t="n">
        <v>-1.32</v>
      </c>
      <c r="H196" s="3" t="n">
        <v>209.65</v>
      </c>
      <c r="I196" s="5" t="n">
        <v>217</v>
      </c>
    </row>
    <row r="197">
      <c r="A197" s="2" t="inlineStr">
        <is>
          <t>IRN-RAC-BAN-0196</t>
        </is>
      </c>
      <c r="B197" s="2" t="inlineStr">
        <is>
          <t>IRONSIDE Foldable Utility Bench [GOOD]</t>
        </is>
      </c>
      <c r="C197" s="2" t="inlineStr">
        <is>
          <t>Racks &amp; Estructuras</t>
        </is>
      </c>
      <c r="D197" s="2" t="inlineStr">
        <is>
          <t>Bancos</t>
        </is>
      </c>
      <c r="E197" s="2" t="inlineStr">
        <is>
          <t>Good</t>
        </is>
      </c>
      <c r="F197" s="3" t="n">
        <v>126.71</v>
      </c>
      <c r="G197" s="4" t="n">
        <v>-1.31</v>
      </c>
      <c r="H197" s="3" t="n">
        <v>184.74</v>
      </c>
      <c r="I197" s="5" t="n">
        <v>233</v>
      </c>
    </row>
    <row r="198">
      <c r="A198" s="2" t="inlineStr">
        <is>
          <t>IRN-RAC-ACC-0197</t>
        </is>
      </c>
      <c r="B198" s="2" t="inlineStr">
        <is>
          <t>IRONSIDE Sandwich J-Cups Pair [BEST]</t>
        </is>
      </c>
      <c r="C198" s="2" t="inlineStr">
        <is>
          <t>Racks &amp; Estructuras</t>
        </is>
      </c>
      <c r="D198" s="2" t="inlineStr">
        <is>
          <t>Accesorios Racks</t>
        </is>
      </c>
      <c r="E198" s="2" t="inlineStr">
        <is>
          <t>Best</t>
        </is>
      </c>
      <c r="F198" s="3" t="n">
        <v>186.85</v>
      </c>
      <c r="G198" s="4" t="n">
        <v>-1.01</v>
      </c>
      <c r="H198" s="3" t="n">
        <v>344.87</v>
      </c>
      <c r="I198" s="5" t="n">
        <v>104</v>
      </c>
    </row>
    <row r="199">
      <c r="A199" s="2" t="inlineStr">
        <is>
          <t>IRN-RAC-ACC-0198</t>
        </is>
      </c>
      <c r="B199" s="2" t="inlineStr">
        <is>
          <t>IRONSIDE Spotter Safety Arms [BETTER]</t>
        </is>
      </c>
      <c r="C199" s="2" t="inlineStr">
        <is>
          <t>Racks &amp; Estructuras</t>
        </is>
      </c>
      <c r="D199" s="2" t="inlineStr">
        <is>
          <t>Accesorios Racks</t>
        </is>
      </c>
      <c r="E199" s="2" t="inlineStr">
        <is>
          <t>Better</t>
        </is>
      </c>
      <c r="F199" s="3" t="n">
        <v>128.21</v>
      </c>
      <c r="G199" s="4" t="n">
        <v>-1.47</v>
      </c>
      <c r="H199" s="3" t="n">
        <v>212.36</v>
      </c>
      <c r="I199" s="5" t="n">
        <v>158</v>
      </c>
    </row>
    <row r="200">
      <c r="A200" s="2" t="inlineStr">
        <is>
          <t>IRN-RAC-ACC-0199</t>
        </is>
      </c>
      <c r="B200" s="2" t="inlineStr">
        <is>
          <t>IRONSIDE Dip Station Attachment [BETTER]</t>
        </is>
      </c>
      <c r="C200" s="2" t="inlineStr">
        <is>
          <t>Racks &amp; Estructuras</t>
        </is>
      </c>
      <c r="D200" s="2" t="inlineStr">
        <is>
          <t>Accesorios Racks</t>
        </is>
      </c>
      <c r="E200" s="2" t="inlineStr">
        <is>
          <t>Better</t>
        </is>
      </c>
      <c r="F200" s="3" t="n">
        <v>152.01</v>
      </c>
      <c r="G200" s="4" t="n">
        <v>-1.15</v>
      </c>
      <c r="H200" s="3" t="n">
        <v>254.52</v>
      </c>
      <c r="I200" s="5" t="n">
        <v>190</v>
      </c>
    </row>
    <row r="201">
      <c r="A201" s="2" t="inlineStr">
        <is>
          <t>IRN-RAC-ACC-0200</t>
        </is>
      </c>
      <c r="B201" s="2" t="inlineStr">
        <is>
          <t>IRONSIDE Jammer Arms Set [GOOD]</t>
        </is>
      </c>
      <c r="C201" s="2" t="inlineStr">
        <is>
          <t>Racks &amp; Estructuras</t>
        </is>
      </c>
      <c r="D201" s="2" t="inlineStr">
        <is>
          <t>Accesorios Racks</t>
        </is>
      </c>
      <c r="E201" s="2" t="inlineStr">
        <is>
          <t>Good</t>
        </is>
      </c>
      <c r="F201" s="3" t="n">
        <v>115.28</v>
      </c>
      <c r="G201" s="4" t="n">
        <v>-1.49</v>
      </c>
      <c r="H201" s="3" t="n">
        <v>161.71</v>
      </c>
      <c r="I201" s="5" t="n">
        <v>69</v>
      </c>
    </row>
    <row r="202">
      <c r="A202" s="2" t="inlineStr">
        <is>
          <t>IRN-RAC-ACC-0201</t>
        </is>
      </c>
      <c r="B202" s="2" t="inlineStr">
        <is>
          <t>IRONSIDE Landmine Heavy Attachment [BETTER]</t>
        </is>
      </c>
      <c r="C202" s="2" t="inlineStr">
        <is>
          <t>Racks &amp; Estructuras</t>
        </is>
      </c>
      <c r="D202" s="2" t="inlineStr">
        <is>
          <t>Accesorios Racks</t>
        </is>
      </c>
      <c r="E202" s="2" t="inlineStr">
        <is>
          <t>Better</t>
        </is>
      </c>
      <c r="F202" s="3" t="n">
        <v>54.13</v>
      </c>
      <c r="G202" s="4" t="n">
        <v>-1.64</v>
      </c>
      <c r="H202" s="3" t="n">
        <v>85.16</v>
      </c>
      <c r="I202" s="5" t="n">
        <v>216</v>
      </c>
    </row>
    <row r="203">
      <c r="A203" s="2" t="inlineStr">
        <is>
          <t>IRN-CAR-AIR-0202</t>
        </is>
      </c>
      <c r="B203" s="2" t="inlineStr">
        <is>
          <t>IRONSIDE Commercial Wind Resistance Air Bike [BETTER]</t>
        </is>
      </c>
      <c r="C203" s="2" t="inlineStr">
        <is>
          <t>Cardio</t>
        </is>
      </c>
      <c r="D203" s="2" t="inlineStr">
        <is>
          <t>Air Bikes</t>
        </is>
      </c>
      <c r="E203" s="2" t="inlineStr">
        <is>
          <t>Better</t>
        </is>
      </c>
      <c r="F203" s="3" t="n">
        <v>643.8200000000001</v>
      </c>
      <c r="G203" s="4" t="n">
        <v>-0.83</v>
      </c>
      <c r="H203" s="3" t="n">
        <v>1001.57</v>
      </c>
      <c r="I203" s="5" t="n">
        <v>211</v>
      </c>
    </row>
    <row r="204">
      <c r="A204" s="2" t="inlineStr">
        <is>
          <t>IRN-CAR-AIR-0203</t>
        </is>
      </c>
      <c r="B204" s="2" t="inlineStr">
        <is>
          <t>IRONSIDE Pro Heavy-Duty Fan Bike [BETTER]</t>
        </is>
      </c>
      <c r="C204" s="2" t="inlineStr">
        <is>
          <t>Cardio</t>
        </is>
      </c>
      <c r="D204" s="2" t="inlineStr">
        <is>
          <t>Air Bikes</t>
        </is>
      </c>
      <c r="E204" s="2" t="inlineStr">
        <is>
          <t>Better</t>
        </is>
      </c>
      <c r="F204" s="3" t="n">
        <v>344.71</v>
      </c>
      <c r="G204" s="4" t="n">
        <v>-1.1</v>
      </c>
      <c r="H204" s="3" t="n">
        <v>570.13</v>
      </c>
      <c r="I204" s="5" t="n">
        <v>246</v>
      </c>
    </row>
    <row r="205">
      <c r="A205" s="2" t="inlineStr">
        <is>
          <t>IRN-CAR-AIR-0204</t>
        </is>
      </c>
      <c r="B205" s="2" t="inlineStr">
        <is>
          <t>IRONSIDE Compact Air Bike [BETTER]</t>
        </is>
      </c>
      <c r="C205" s="2" t="inlineStr">
        <is>
          <t>Cardio</t>
        </is>
      </c>
      <c r="D205" s="2" t="inlineStr">
        <is>
          <t>Air Bikes</t>
        </is>
      </c>
      <c r="E205" s="2" t="inlineStr">
        <is>
          <t>Better</t>
        </is>
      </c>
      <c r="F205" s="3" t="n">
        <v>457.44</v>
      </c>
      <c r="G205" s="4" t="n">
        <v>-0.75</v>
      </c>
      <c r="H205" s="3" t="n">
        <v>725.33</v>
      </c>
      <c r="I205" s="5" t="n">
        <v>87</v>
      </c>
    </row>
    <row r="206">
      <c r="A206" s="2" t="inlineStr">
        <is>
          <t>IRN-CAR-REM-0205</t>
        </is>
      </c>
      <c r="B206" s="2" t="inlineStr">
        <is>
          <t>IRONSIDE Air Rower with PM5 Performance Monitor [BETTER]</t>
        </is>
      </c>
      <c r="C206" s="2" t="inlineStr">
        <is>
          <t>Cardio</t>
        </is>
      </c>
      <c r="D206" s="2" t="inlineStr">
        <is>
          <t>Remos</t>
        </is>
      </c>
      <c r="E206" s="2" t="inlineStr">
        <is>
          <t>Better</t>
        </is>
      </c>
      <c r="F206" s="3" t="n">
        <v>432.98</v>
      </c>
      <c r="G206" s="4" t="n">
        <v>-0.7</v>
      </c>
      <c r="H206" s="3" t="n">
        <v>733.83</v>
      </c>
      <c r="I206" s="5" t="n">
        <v>246</v>
      </c>
    </row>
    <row r="207">
      <c r="A207" s="2" t="inlineStr">
        <is>
          <t>IRN-CAR-REM-0206</t>
        </is>
      </c>
      <c r="B207" s="2" t="inlineStr">
        <is>
          <t>IRONSIDE Magnetic Resistance Water Rower [BETTER]</t>
        </is>
      </c>
      <c r="C207" s="2" t="inlineStr">
        <is>
          <t>Cardio</t>
        </is>
      </c>
      <c r="D207" s="2" t="inlineStr">
        <is>
          <t>Remos</t>
        </is>
      </c>
      <c r="E207" s="2" t="inlineStr">
        <is>
          <t>Better</t>
        </is>
      </c>
      <c r="F207" s="3" t="n">
        <v>821.17</v>
      </c>
      <c r="G207" s="4" t="n">
        <v>-0.9</v>
      </c>
      <c r="H207" s="3" t="n">
        <v>1329.68</v>
      </c>
      <c r="I207" s="5" t="n">
        <v>112</v>
      </c>
    </row>
    <row r="208">
      <c r="A208" s="2" t="inlineStr">
        <is>
          <t>IRN-CAR-REM-0207</t>
        </is>
      </c>
      <c r="B208" s="2" t="inlineStr">
        <is>
          <t>IRONSIDE Commercial Foldable Rower [BETTER]</t>
        </is>
      </c>
      <c r="C208" s="2" t="inlineStr">
        <is>
          <t>Cardio</t>
        </is>
      </c>
      <c r="D208" s="2" t="inlineStr">
        <is>
          <t>Remos</t>
        </is>
      </c>
      <c r="E208" s="2" t="inlineStr">
        <is>
          <t>Better</t>
        </is>
      </c>
      <c r="F208" s="3" t="n">
        <v>393.82</v>
      </c>
      <c r="G208" s="4" t="n">
        <v>-0.82</v>
      </c>
      <c r="H208" s="3" t="n">
        <v>646.14</v>
      </c>
      <c r="I208" s="5" t="n">
        <v>28</v>
      </c>
    </row>
    <row r="209">
      <c r="A209" s="2" t="inlineStr">
        <is>
          <t>IRN-CAR-SKI-0208</t>
        </is>
      </c>
      <c r="B209" s="2" t="inlineStr">
        <is>
          <t>IRONSIDE Wall Mount Ski Ergometer [BEST]</t>
        </is>
      </c>
      <c r="C209" s="2" t="inlineStr">
        <is>
          <t>Cardio</t>
        </is>
      </c>
      <c r="D209" s="2" t="inlineStr">
        <is>
          <t>Ski Trainers</t>
        </is>
      </c>
      <c r="E209" s="2" t="inlineStr">
        <is>
          <t>Best</t>
        </is>
      </c>
      <c r="F209" s="3" t="n">
        <v>688.21</v>
      </c>
      <c r="G209" s="4" t="n">
        <v>-1.15</v>
      </c>
      <c r="H209" s="3" t="n">
        <v>1315.49</v>
      </c>
      <c r="I209" s="5" t="n">
        <v>87</v>
      </c>
    </row>
    <row r="210">
      <c r="A210" s="2" t="inlineStr">
        <is>
          <t>IRN-CAR-SKI-0209</t>
        </is>
      </c>
      <c r="B210" s="2" t="inlineStr">
        <is>
          <t>IRONSIDE Floor Stand Platform Ski Erg [GOOD]</t>
        </is>
      </c>
      <c r="C210" s="2" t="inlineStr">
        <is>
          <t>Cardio</t>
        </is>
      </c>
      <c r="D210" s="2" t="inlineStr">
        <is>
          <t>Ski Trainers</t>
        </is>
      </c>
      <c r="E210" s="2" t="inlineStr">
        <is>
          <t>Good</t>
        </is>
      </c>
      <c r="F210" s="3" t="n">
        <v>483.78</v>
      </c>
      <c r="G210" s="4" t="n">
        <v>-1.07</v>
      </c>
      <c r="H210" s="3" t="n">
        <v>737.6</v>
      </c>
      <c r="I210" s="5" t="n">
        <v>248</v>
      </c>
    </row>
    <row r="211">
      <c r="A211" s="2" t="inlineStr">
        <is>
          <t>IRN-CAR-CIN-0210</t>
        </is>
      </c>
      <c r="B211" s="2" t="inlineStr">
        <is>
          <t>IRONSIDE Non-Motorized Commercial Curved Treadmill [BETTER]</t>
        </is>
      </c>
      <c r="C211" s="2" t="inlineStr">
        <is>
          <t>Cardio</t>
        </is>
      </c>
      <c r="D211" s="2" t="inlineStr">
        <is>
          <t>Cintas Curvas</t>
        </is>
      </c>
      <c r="E211" s="2" t="inlineStr">
        <is>
          <t>Better</t>
        </is>
      </c>
      <c r="F211" s="3" t="n">
        <v>1329.22</v>
      </c>
      <c r="G211" s="4" t="n">
        <v>-0.97</v>
      </c>
      <c r="H211" s="3" t="n">
        <v>2070.91</v>
      </c>
      <c r="I211" s="5" t="n">
        <v>75</v>
      </c>
    </row>
    <row r="212">
      <c r="A212" s="2" t="inlineStr">
        <is>
          <t>IRN-CAR-CIN-0211</t>
        </is>
      </c>
      <c r="B212" s="2" t="inlineStr">
        <is>
          <t>IRONSIDE Pro Runner Self-Powered Slat Treadmill [GOOD]</t>
        </is>
      </c>
      <c r="C212" s="2" t="inlineStr">
        <is>
          <t>Cardio</t>
        </is>
      </c>
      <c r="D212" s="2" t="inlineStr">
        <is>
          <t>Cintas Curvas</t>
        </is>
      </c>
      <c r="E212" s="2" t="inlineStr">
        <is>
          <t>Good</t>
        </is>
      </c>
      <c r="F212" s="3" t="n">
        <v>1018.33</v>
      </c>
      <c r="G212" s="4" t="n">
        <v>-0.73</v>
      </c>
      <c r="H212" s="3" t="n">
        <v>1440.8</v>
      </c>
      <c r="I212" s="5" t="n">
        <v>100</v>
      </c>
    </row>
    <row r="213">
      <c r="A213" s="2" t="inlineStr">
        <is>
          <t>IRN-PES-POL-0212</t>
        </is>
      </c>
      <c r="B213" s="2" t="inlineStr">
        <is>
          <t>IRONSIDE Dual Adjustable Pulley 90kg x 2 [GOOD]</t>
        </is>
      </c>
      <c r="C213" s="2" t="inlineStr">
        <is>
          <t>Peso Integrado</t>
        </is>
      </c>
      <c r="D213" s="2" t="inlineStr">
        <is>
          <t>Poleas Funcionales</t>
        </is>
      </c>
      <c r="E213" s="2" t="inlineStr">
        <is>
          <t>Good</t>
        </is>
      </c>
      <c r="F213" s="3" t="n">
        <v>930.46</v>
      </c>
      <c r="G213" s="4" t="n">
        <v>-0.92</v>
      </c>
      <c r="H213" s="3" t="n">
        <v>1399.79</v>
      </c>
      <c r="I213" s="5" t="n">
        <v>195</v>
      </c>
    </row>
    <row r="214">
      <c r="A214" s="2" t="inlineStr">
        <is>
          <t>IRN-PES-POL-0213</t>
        </is>
      </c>
      <c r="B214" s="2" t="inlineStr">
        <is>
          <t>IRONSIDE Functional Trainer Compact [BETTER]</t>
        </is>
      </c>
      <c r="C214" s="2" t="inlineStr">
        <is>
          <t>Peso Integrado</t>
        </is>
      </c>
      <c r="D214" s="2" t="inlineStr">
        <is>
          <t>Poleas Funcionales</t>
        </is>
      </c>
      <c r="E214" s="2" t="inlineStr">
        <is>
          <t>Better</t>
        </is>
      </c>
      <c r="F214" s="3" t="n">
        <v>1961.65</v>
      </c>
      <c r="G214" s="4" t="n">
        <v>-0.83</v>
      </c>
      <c r="H214" s="3" t="n">
        <v>3104.01</v>
      </c>
      <c r="I214" s="5" t="n">
        <v>201</v>
      </c>
    </row>
    <row r="215">
      <c r="A215" s="2" t="inlineStr">
        <is>
          <t>IRN-PES-POL-0214</t>
        </is>
      </c>
      <c r="B215" s="2" t="inlineStr">
        <is>
          <t>IRONSIDE Cable Crossover Commercial [BETTER]</t>
        </is>
      </c>
      <c r="C215" s="2" t="inlineStr">
        <is>
          <t>Peso Integrado</t>
        </is>
      </c>
      <c r="D215" s="2" t="inlineStr">
        <is>
          <t>Poleas Funcionales</t>
        </is>
      </c>
      <c r="E215" s="2" t="inlineStr">
        <is>
          <t>Better</t>
        </is>
      </c>
      <c r="F215" s="3" t="n">
        <v>1769.68</v>
      </c>
      <c r="G215" s="4" t="n">
        <v>-0.72</v>
      </c>
      <c r="H215" s="3" t="n">
        <v>2775.35</v>
      </c>
      <c r="I215" s="5" t="n">
        <v>178</v>
      </c>
    </row>
    <row r="216">
      <c r="A216" s="2" t="inlineStr">
        <is>
          <t>IRN-PES-MÁQ-0215</t>
        </is>
      </c>
      <c r="B216" s="2" t="inlineStr">
        <is>
          <t>IRONSIDE Lat Pulldown / Low Row Combo 100kg [BETTER]</t>
        </is>
      </c>
      <c r="C216" s="2" t="inlineStr">
        <is>
          <t>Peso Integrado</t>
        </is>
      </c>
      <c r="D216" s="2" t="inlineStr">
        <is>
          <t>Máquinas de Placas</t>
        </is>
      </c>
      <c r="E216" s="2" t="inlineStr">
        <is>
          <t>Better</t>
        </is>
      </c>
      <c r="F216" s="3" t="n">
        <v>698.9400000000001</v>
      </c>
      <c r="G216" s="4" t="n">
        <v>-0.85</v>
      </c>
      <c r="H216" s="3" t="n">
        <v>1145.92</v>
      </c>
      <c r="I216" s="5" t="n">
        <v>146</v>
      </c>
    </row>
    <row r="217">
      <c r="A217" s="2" t="inlineStr">
        <is>
          <t>IRN-PES-MÁQ-0216</t>
        </is>
      </c>
      <c r="B217" s="2" t="inlineStr">
        <is>
          <t>IRONSIDE Leg Extension / Leg Curl Combo [BETTER]</t>
        </is>
      </c>
      <c r="C217" s="2" t="inlineStr">
        <is>
          <t>Peso Integrado</t>
        </is>
      </c>
      <c r="D217" s="2" t="inlineStr">
        <is>
          <t>Máquinas de Placas</t>
        </is>
      </c>
      <c r="E217" s="2" t="inlineStr">
        <is>
          <t>Better</t>
        </is>
      </c>
      <c r="F217" s="3" t="n">
        <v>934.99</v>
      </c>
      <c r="G217" s="4" t="n">
        <v>-0.8</v>
      </c>
      <c r="H217" s="3" t="n">
        <v>1498.72</v>
      </c>
      <c r="I217" s="5" t="n">
        <v>62</v>
      </c>
    </row>
    <row r="218">
      <c r="A218" s="2" t="inlineStr">
        <is>
          <t>IRN-PES-MÁQ-0217</t>
        </is>
      </c>
      <c r="B218" s="2" t="inlineStr">
        <is>
          <t>IRONSIDE Seated Chest Press 80kg [GOOD]</t>
        </is>
      </c>
      <c r="C218" s="2" t="inlineStr">
        <is>
          <t>Peso Integrado</t>
        </is>
      </c>
      <c r="D218" s="2" t="inlineStr">
        <is>
          <t>Máquinas de Placas</t>
        </is>
      </c>
      <c r="E218" s="2" t="inlineStr">
        <is>
          <t>Good</t>
        </is>
      </c>
      <c r="F218" s="3" t="n">
        <v>1627.99</v>
      </c>
      <c r="G218" s="4" t="n">
        <v>-0.87</v>
      </c>
      <c r="H218" s="3" t="n">
        <v>2407.65</v>
      </c>
      <c r="I218" s="5" t="n">
        <v>144</v>
      </c>
    </row>
    <row r="219">
      <c r="A219" s="2" t="inlineStr">
        <is>
          <t>IRN-PES-MÁQ-0218</t>
        </is>
      </c>
      <c r="B219" s="2" t="inlineStr">
        <is>
          <t>IRONSIDE Leg Press Hack Squat 45deg [BETTER]</t>
        </is>
      </c>
      <c r="C219" s="2" t="inlineStr">
        <is>
          <t>Peso Integrado</t>
        </is>
      </c>
      <c r="D219" s="2" t="inlineStr">
        <is>
          <t>Máquinas de Placas</t>
        </is>
      </c>
      <c r="E219" s="2" t="inlineStr">
        <is>
          <t>Better</t>
        </is>
      </c>
      <c r="F219" s="3" t="n">
        <v>1169</v>
      </c>
      <c r="G219" s="4" t="n">
        <v>-0.99</v>
      </c>
      <c r="H219" s="3" t="n">
        <v>1983.98</v>
      </c>
      <c r="I219" s="5" t="n">
        <v>19</v>
      </c>
    </row>
    <row r="220">
      <c r="A220" s="2" t="inlineStr">
        <is>
          <t>IRN-PES-SMI-0219</t>
        </is>
      </c>
      <c r="B220" s="2" t="inlineStr">
        <is>
          <t>IRONSIDE Commercial Counter-Balanced Smith Machine [GOOD]</t>
        </is>
      </c>
      <c r="C220" s="2" t="inlineStr">
        <is>
          <t>Peso Integrado</t>
        </is>
      </c>
      <c r="D220" s="2" t="inlineStr">
        <is>
          <t>Smith Machines</t>
        </is>
      </c>
      <c r="E220" s="2" t="inlineStr">
        <is>
          <t>Good</t>
        </is>
      </c>
      <c r="F220" s="3" t="n">
        <v>768.85</v>
      </c>
      <c r="G220" s="4" t="n">
        <v>-1</v>
      </c>
      <c r="H220" s="3" t="n">
        <v>1088.35</v>
      </c>
      <c r="I220" s="5" t="n">
        <v>208</v>
      </c>
    </row>
    <row r="221">
      <c r="A221" s="2" t="inlineStr">
        <is>
          <t>IRN-PES-SMI-0220</t>
        </is>
      </c>
      <c r="B221" s="2" t="inlineStr">
        <is>
          <t>IRONSIDE Multi-Power 3D Smith Machine [GOOD]</t>
        </is>
      </c>
      <c r="C221" s="2" t="inlineStr">
        <is>
          <t>Peso Integrado</t>
        </is>
      </c>
      <c r="D221" s="2" t="inlineStr">
        <is>
          <t>Smith Machines</t>
        </is>
      </c>
      <c r="E221" s="2" t="inlineStr">
        <is>
          <t>Good</t>
        </is>
      </c>
      <c r="F221" s="3" t="n">
        <v>1074.65</v>
      </c>
      <c r="G221" s="4" t="n">
        <v>-0.61</v>
      </c>
      <c r="H221" s="3" t="n">
        <v>1532.73</v>
      </c>
      <c r="I221" s="5" t="n">
        <v>133</v>
      </c>
    </row>
    <row r="222">
      <c r="A222" s="2" t="inlineStr">
        <is>
          <t>IRN-ACC-BAN-0221</t>
        </is>
      </c>
      <c r="B222" s="2" t="inlineStr">
        <is>
          <t>IRONSIDE Loop Resistance Bands 5-Pack [BETTER]</t>
        </is>
      </c>
      <c r="C222" s="2" t="inlineStr">
        <is>
          <t>Accesorios &amp; Movilidad</t>
        </is>
      </c>
      <c r="D222" s="2" t="inlineStr">
        <is>
          <t>Bandas y Agarre</t>
        </is>
      </c>
      <c r="E222" s="2" t="inlineStr">
        <is>
          <t>Better</t>
        </is>
      </c>
      <c r="F222" s="3" t="n">
        <v>10</v>
      </c>
      <c r="G222" s="4" t="n">
        <v>-1.52</v>
      </c>
      <c r="H222" s="3" t="n">
        <v>16.57</v>
      </c>
      <c r="I222" s="5" t="n">
        <v>98</v>
      </c>
    </row>
    <row r="223">
      <c r="A223" s="2" t="inlineStr">
        <is>
          <t>IRN-ACC-BAN-0222</t>
        </is>
      </c>
      <c r="B223" s="2" t="inlineStr">
        <is>
          <t>IRONSIDE Leather Lifting Straps [GOOD]</t>
        </is>
      </c>
      <c r="C223" s="2" t="inlineStr">
        <is>
          <t>Accesorios &amp; Movilidad</t>
        </is>
      </c>
      <c r="D223" s="2" t="inlineStr">
        <is>
          <t>Bandas y Agarre</t>
        </is>
      </c>
      <c r="E223" s="2" t="inlineStr">
        <is>
          <t>Good</t>
        </is>
      </c>
      <c r="F223" s="3" t="n">
        <v>9.34</v>
      </c>
      <c r="G223" s="4" t="n">
        <v>-2.15</v>
      </c>
      <c r="H223" s="3" t="n">
        <v>14.38</v>
      </c>
      <c r="I223" s="5" t="n">
        <v>223</v>
      </c>
    </row>
    <row r="224">
      <c r="A224" s="2" t="inlineStr">
        <is>
          <t>IRN-ACC-BAN-0223</t>
        </is>
      </c>
      <c r="B224" s="2" t="inlineStr">
        <is>
          <t>IRONSIDE Gym Chalk Block 8-Pack [GOOD]</t>
        </is>
      </c>
      <c r="C224" s="2" t="inlineStr">
        <is>
          <t>Accesorios &amp; Movilidad</t>
        </is>
      </c>
      <c r="D224" s="2" t="inlineStr">
        <is>
          <t>Bandas y Agarre</t>
        </is>
      </c>
      <c r="E224" s="2" t="inlineStr">
        <is>
          <t>Good</t>
        </is>
      </c>
      <c r="F224" s="3" t="n">
        <v>23.46</v>
      </c>
      <c r="G224" s="4" t="n">
        <v>-2.01</v>
      </c>
      <c r="H224" s="3" t="n">
        <v>34.1</v>
      </c>
      <c r="I224" s="5" t="n">
        <v>236</v>
      </c>
    </row>
    <row r="225">
      <c r="A225" s="2" t="inlineStr">
        <is>
          <t>IRN-ACC-BAN-0224</t>
        </is>
      </c>
      <c r="B225" s="2" t="inlineStr">
        <is>
          <t>IRONSIDE Barbell Collars Aluminum [GOOD]</t>
        </is>
      </c>
      <c r="C225" s="2" t="inlineStr">
        <is>
          <t>Accesorios &amp; Movilidad</t>
        </is>
      </c>
      <c r="D225" s="2" t="inlineStr">
        <is>
          <t>Bandas y Agarre</t>
        </is>
      </c>
      <c r="E225" s="2" t="inlineStr">
        <is>
          <t>Good</t>
        </is>
      </c>
      <c r="F225" s="3" t="n">
        <v>24.63</v>
      </c>
      <c r="G225" s="4" t="n">
        <v>-2.39</v>
      </c>
      <c r="H225" s="3" t="n">
        <v>35.96</v>
      </c>
      <c r="I225" s="5" t="n">
        <v>113</v>
      </c>
    </row>
    <row r="226">
      <c r="A226" s="2" t="inlineStr">
        <is>
          <t>IRN-ACC-BAN-0225</t>
        </is>
      </c>
      <c r="B226" s="2" t="inlineStr">
        <is>
          <t>IRONSIDE Weightlifting Belt 10mm [GOOD]</t>
        </is>
      </c>
      <c r="C226" s="2" t="inlineStr">
        <is>
          <t>Accesorios &amp; Movilidad</t>
        </is>
      </c>
      <c r="D226" s="2" t="inlineStr">
        <is>
          <t>Bandas y Agarre</t>
        </is>
      </c>
      <c r="E226" s="2" t="inlineStr">
        <is>
          <t>Good</t>
        </is>
      </c>
      <c r="F226" s="3" t="n">
        <v>21.9</v>
      </c>
      <c r="G226" s="4" t="n">
        <v>-1.93</v>
      </c>
      <c r="H226" s="3" t="n">
        <v>33.28</v>
      </c>
      <c r="I226" s="5" t="n">
        <v>36</v>
      </c>
    </row>
    <row r="227">
      <c r="A227" s="2" t="inlineStr">
        <is>
          <t>IRN-ACC-PIS-0226</t>
        </is>
      </c>
      <c r="B227" s="2" t="inlineStr">
        <is>
          <t>IRONSIDE Rubber Floor Roll 8mm (10m2) [GOOD]</t>
        </is>
      </c>
      <c r="C227" s="2" t="inlineStr">
        <is>
          <t>Accesorios &amp; Movilidad</t>
        </is>
      </c>
      <c r="D227" s="2" t="inlineStr">
        <is>
          <t>Pisos y Protección</t>
        </is>
      </c>
      <c r="E227" s="2" t="inlineStr">
        <is>
          <t>Good</t>
        </is>
      </c>
      <c r="F227" s="3" t="n">
        <v>93.76000000000001</v>
      </c>
      <c r="G227" s="4" t="n">
        <v>-2.41</v>
      </c>
      <c r="H227" s="3" t="n">
        <v>138.94</v>
      </c>
      <c r="I227" s="5" t="n">
        <v>35</v>
      </c>
    </row>
    <row r="228">
      <c r="A228" s="2" t="inlineStr">
        <is>
          <t>IRN-ACC-PIS-0227</t>
        </is>
      </c>
      <c r="B228" s="2" t="inlineStr">
        <is>
          <t>IRONSIDE High Impact Interlocking Tile 25mm 1x1m [GOOD]</t>
        </is>
      </c>
      <c r="C228" s="2" t="inlineStr">
        <is>
          <t>Accesorios &amp; Movilidad</t>
        </is>
      </c>
      <c r="D228" s="2" t="inlineStr">
        <is>
          <t>Pisos y Protección</t>
        </is>
      </c>
      <c r="E228" s="2" t="inlineStr">
        <is>
          <t>Good</t>
        </is>
      </c>
      <c r="F228" s="3" t="n">
        <v>77.13</v>
      </c>
      <c r="G228" s="4" t="n">
        <v>-2.75</v>
      </c>
      <c r="H228" s="3" t="n">
        <v>109.91</v>
      </c>
      <c r="I228" s="5" t="n">
        <v>129</v>
      </c>
    </row>
    <row r="229">
      <c r="A229" s="2" t="inlineStr">
        <is>
          <t>IRN-ACC-PIS-0228</t>
        </is>
      </c>
      <c r="B229" s="2" t="inlineStr">
        <is>
          <t>IRONSIDE Drop Pads Noise Dampening Pair [BEST]</t>
        </is>
      </c>
      <c r="C229" s="2" t="inlineStr">
        <is>
          <t>Accesorios &amp; Movilidad</t>
        </is>
      </c>
      <c r="D229" s="2" t="inlineStr">
        <is>
          <t>Pisos y Protección</t>
        </is>
      </c>
      <c r="E229" s="2" t="inlineStr">
        <is>
          <t>Best</t>
        </is>
      </c>
      <c r="F229" s="3" t="n">
        <v>87.37</v>
      </c>
      <c r="G229" s="4" t="n">
        <v>-1.15</v>
      </c>
      <c r="H229" s="3" t="n">
        <v>154.53</v>
      </c>
      <c r="I229" s="5" t="n">
        <v>109</v>
      </c>
    </row>
    <row r="230">
      <c r="A230" s="2" t="inlineStr">
        <is>
          <t>IRN-ACC-BAL-0229</t>
        </is>
      </c>
      <c r="B230" s="2" t="inlineStr">
        <is>
          <t>IRONSIDE Slam Ball 5kg [BETTER]</t>
        </is>
      </c>
      <c r="C230" s="2" t="inlineStr">
        <is>
          <t>Accesorios &amp; Movilidad</t>
        </is>
      </c>
      <c r="D230" s="2" t="inlineStr">
        <is>
          <t>Balones &amp; Plyo</t>
        </is>
      </c>
      <c r="E230" s="2" t="inlineStr">
        <is>
          <t>Better</t>
        </is>
      </c>
      <c r="F230" s="3" t="n">
        <v>42.08</v>
      </c>
      <c r="G230" s="4" t="n">
        <v>-1.19</v>
      </c>
      <c r="H230" s="3" t="n">
        <v>69.51000000000001</v>
      </c>
      <c r="I230" s="5" t="n">
        <v>153</v>
      </c>
    </row>
    <row r="231">
      <c r="A231" s="2" t="inlineStr">
        <is>
          <t>IRN-ACC-BAL-0230</t>
        </is>
      </c>
      <c r="B231" s="2" t="inlineStr">
        <is>
          <t>IRONSIDE Slam Ball 10kg [BETTER]</t>
        </is>
      </c>
      <c r="C231" s="2" t="inlineStr">
        <is>
          <t>Accesorios &amp; Movilidad</t>
        </is>
      </c>
      <c r="D231" s="2" t="inlineStr">
        <is>
          <t>Balones &amp; Plyo</t>
        </is>
      </c>
      <c r="E231" s="2" t="inlineStr">
        <is>
          <t>Better</t>
        </is>
      </c>
      <c r="F231" s="3" t="n">
        <v>47.8</v>
      </c>
      <c r="G231" s="4" t="n">
        <v>-1.47</v>
      </c>
      <c r="H231" s="3" t="n">
        <v>75.78</v>
      </c>
      <c r="I231" s="5" t="n">
        <v>107</v>
      </c>
    </row>
    <row r="232">
      <c r="A232" s="2" t="inlineStr">
        <is>
          <t>IRN-ACC-BAL-0231</t>
        </is>
      </c>
      <c r="B232" s="2" t="inlineStr">
        <is>
          <t>IRONSIDE Slam Ball 15kg [BETTER]</t>
        </is>
      </c>
      <c r="C232" s="2" t="inlineStr">
        <is>
          <t>Accesorios &amp; Movilidad</t>
        </is>
      </c>
      <c r="D232" s="2" t="inlineStr">
        <is>
          <t>Balones &amp; Plyo</t>
        </is>
      </c>
      <c r="E232" s="2" t="inlineStr">
        <is>
          <t>Better</t>
        </is>
      </c>
      <c r="F232" s="3" t="n">
        <v>60.55</v>
      </c>
      <c r="G232" s="4" t="n">
        <v>-1.65</v>
      </c>
      <c r="H232" s="3" t="n">
        <v>102.47</v>
      </c>
      <c r="I232" s="5" t="n">
        <v>210</v>
      </c>
    </row>
    <row r="233">
      <c r="A233" s="2" t="inlineStr">
        <is>
          <t>IRN-ACC-BAL-0232</t>
        </is>
      </c>
      <c r="B233" s="2" t="inlineStr">
        <is>
          <t>IRONSIDE Foam 3-in-1 Soft Plyo Box [GOOD]</t>
        </is>
      </c>
      <c r="C233" s="2" t="inlineStr">
        <is>
          <t>Accesorios &amp; Movilidad</t>
        </is>
      </c>
      <c r="D233" s="2" t="inlineStr">
        <is>
          <t>Balones &amp; Plyo</t>
        </is>
      </c>
      <c r="E233" s="2" t="inlineStr">
        <is>
          <t>Good</t>
        </is>
      </c>
      <c r="F233" s="3" t="n">
        <v>37.7</v>
      </c>
      <c r="G233" s="4" t="n">
        <v>-1.92</v>
      </c>
      <c r="H233" s="3" t="n">
        <v>54.36</v>
      </c>
      <c r="I233" s="5" t="n">
        <v>93</v>
      </c>
    </row>
    <row r="234">
      <c r="A234" s="2" t="inlineStr">
        <is>
          <t>IRN-ACC-BAL-0233</t>
        </is>
      </c>
      <c r="B234" s="2" t="inlineStr">
        <is>
          <t>IRONSIDE Wood CNC Plyo Box [BETTER]</t>
        </is>
      </c>
      <c r="C234" s="2" t="inlineStr">
        <is>
          <t>Accesorios &amp; Movilidad</t>
        </is>
      </c>
      <c r="D234" s="2" t="inlineStr">
        <is>
          <t>Balones &amp; Plyo</t>
        </is>
      </c>
      <c r="E234" s="2" t="inlineStr">
        <is>
          <t>Better</t>
        </is>
      </c>
      <c r="F234" s="3" t="n">
        <v>43.89</v>
      </c>
      <c r="G234" s="4" t="n">
        <v>-1.57</v>
      </c>
      <c r="H234" s="3" t="n">
        <v>69.75</v>
      </c>
      <c r="I234" s="5" t="n">
        <v>129</v>
      </c>
    </row>
    <row r="235">
      <c r="A235" s="2" t="inlineStr">
        <is>
          <t>IRN-ACC-BAL-0234</t>
        </is>
      </c>
      <c r="B235" s="2" t="inlineStr">
        <is>
          <t>IRONSIDE Wall Ball 9kg [BETTER]</t>
        </is>
      </c>
      <c r="C235" s="2" t="inlineStr">
        <is>
          <t>Accesorios &amp; Movilidad</t>
        </is>
      </c>
      <c r="D235" s="2" t="inlineStr">
        <is>
          <t>Balones &amp; Plyo</t>
        </is>
      </c>
      <c r="E235" s="2" t="inlineStr">
        <is>
          <t>Better</t>
        </is>
      </c>
      <c r="F235" s="3" t="n">
        <v>67.34999999999999</v>
      </c>
      <c r="G235" s="4" t="n">
        <v>-1.43</v>
      </c>
      <c r="H235" s="3" t="n">
        <v>106.41</v>
      </c>
      <c r="I235" s="5" t="n">
        <v>33</v>
      </c>
    </row>
    <row r="236">
      <c r="A236" s="2" t="inlineStr">
        <is>
          <t>IRN-FUE-BAR-0235</t>
        </is>
      </c>
      <c r="B236" s="2" t="inlineStr">
        <is>
          <t>IRONSIDE Cerakote 20kg [BEST]</t>
        </is>
      </c>
      <c r="C236" s="2" t="inlineStr">
        <is>
          <t>Fuerza Libre</t>
        </is>
      </c>
      <c r="D236" s="2" t="inlineStr">
        <is>
          <t>Barras Olímpicas</t>
        </is>
      </c>
      <c r="E236" s="2" t="inlineStr">
        <is>
          <t>Best</t>
        </is>
      </c>
      <c r="F236" s="3" t="n">
        <v>116.12</v>
      </c>
      <c r="G236" s="4" t="n">
        <v>-0.8</v>
      </c>
      <c r="H236" s="3" t="n">
        <v>217.2</v>
      </c>
      <c r="I236" s="5" t="n">
        <v>96</v>
      </c>
    </row>
    <row r="237">
      <c r="A237" s="2" t="inlineStr">
        <is>
          <t>IRN-FUE-BAR-0236</t>
        </is>
      </c>
      <c r="B237" s="2" t="inlineStr">
        <is>
          <t>IRONSIDE Hard Chrome 20kg [BETTER]</t>
        </is>
      </c>
      <c r="C237" s="2" t="inlineStr">
        <is>
          <t>Fuerza Libre</t>
        </is>
      </c>
      <c r="D237" s="2" t="inlineStr">
        <is>
          <t>Barras Olímpicas</t>
        </is>
      </c>
      <c r="E237" s="2" t="inlineStr">
        <is>
          <t>Better</t>
        </is>
      </c>
      <c r="F237" s="3" t="n">
        <v>113.88</v>
      </c>
      <c r="G237" s="4" t="n">
        <v>-1.14</v>
      </c>
      <c r="H237" s="3" t="n">
        <v>181.64</v>
      </c>
      <c r="I237" s="5" t="n">
        <v>196</v>
      </c>
    </row>
    <row r="238">
      <c r="A238" s="2" t="inlineStr">
        <is>
          <t>IRN-FUE-BAR-0237</t>
        </is>
      </c>
      <c r="B238" s="2" t="inlineStr">
        <is>
          <t>IRONSIDE Women 15kg [BETTER]</t>
        </is>
      </c>
      <c r="C238" s="2" t="inlineStr">
        <is>
          <t>Fuerza Libre</t>
        </is>
      </c>
      <c r="D238" s="2" t="inlineStr">
        <is>
          <t>Barras Olímpicas</t>
        </is>
      </c>
      <c r="E238" s="2" t="inlineStr">
        <is>
          <t>Better</t>
        </is>
      </c>
      <c r="F238" s="3" t="n">
        <v>145.3</v>
      </c>
      <c r="G238" s="4" t="n">
        <v>-1.56</v>
      </c>
      <c r="H238" s="3" t="n">
        <v>227.86</v>
      </c>
      <c r="I238" s="5" t="n">
        <v>50</v>
      </c>
    </row>
    <row r="239">
      <c r="A239" s="2" t="inlineStr">
        <is>
          <t>IRN-FUE-BAR-0238</t>
        </is>
      </c>
      <c r="B239" s="2" t="inlineStr">
        <is>
          <t>IRONSIDE Trap Bar Hex [BETTER]</t>
        </is>
      </c>
      <c r="C239" s="2" t="inlineStr">
        <is>
          <t>Fuerza Libre</t>
        </is>
      </c>
      <c r="D239" s="2" t="inlineStr">
        <is>
          <t>Barras Olímpicas</t>
        </is>
      </c>
      <c r="E239" s="2" t="inlineStr">
        <is>
          <t>Better</t>
        </is>
      </c>
      <c r="F239" s="3" t="n">
        <v>89.5</v>
      </c>
      <c r="G239" s="4" t="n">
        <v>-1.33</v>
      </c>
      <c r="H239" s="3" t="n">
        <v>145</v>
      </c>
      <c r="I239" s="5" t="n">
        <v>146</v>
      </c>
    </row>
    <row r="240">
      <c r="A240" s="2" t="inlineStr">
        <is>
          <t>IRN-FUE-BAR-0239</t>
        </is>
      </c>
      <c r="B240" s="2" t="inlineStr">
        <is>
          <t>IRONSIDE EZ Curl Bar [GOOD]</t>
        </is>
      </c>
      <c r="C240" s="2" t="inlineStr">
        <is>
          <t>Fuerza Libre</t>
        </is>
      </c>
      <c r="D240" s="2" t="inlineStr">
        <is>
          <t>Barras Olímpicas</t>
        </is>
      </c>
      <c r="E240" s="2" t="inlineStr">
        <is>
          <t>Good</t>
        </is>
      </c>
      <c r="F240" s="3" t="n">
        <v>73.73999999999999</v>
      </c>
      <c r="G240" s="4" t="n">
        <v>-2.31</v>
      </c>
      <c r="H240" s="3" t="n">
        <v>111.19</v>
      </c>
      <c r="I240" s="5" t="n">
        <v>211</v>
      </c>
    </row>
    <row r="241">
      <c r="A241" s="2" t="inlineStr">
        <is>
          <t>IRN-FUE-BAR-0240</t>
        </is>
      </c>
      <c r="B241" s="2" t="inlineStr">
        <is>
          <t>IRONSIDE Shorty 10kg [BETTER]</t>
        </is>
      </c>
      <c r="C241" s="2" t="inlineStr">
        <is>
          <t>Fuerza Libre</t>
        </is>
      </c>
      <c r="D241" s="2" t="inlineStr">
        <is>
          <t>Barras Olímpicas</t>
        </is>
      </c>
      <c r="E241" s="2" t="inlineStr">
        <is>
          <t>Better</t>
        </is>
      </c>
      <c r="F241" s="3" t="n">
        <v>59.13</v>
      </c>
      <c r="G241" s="4" t="n">
        <v>-1.49</v>
      </c>
      <c r="H241" s="3" t="n">
        <v>92.31</v>
      </c>
      <c r="I241" s="5" t="n">
        <v>147</v>
      </c>
    </row>
    <row r="242">
      <c r="A242" s="2" t="inlineStr">
        <is>
          <t>IRN-FUE-DIS-0241</t>
        </is>
      </c>
      <c r="B242" s="2" t="inlineStr">
        <is>
          <t>IRONSIDE Hi-Temp Recycled 5kg [BEST]</t>
        </is>
      </c>
      <c r="C242" s="2" t="inlineStr">
        <is>
          <t>Fuerza Libre</t>
        </is>
      </c>
      <c r="D242" s="2" t="inlineStr">
        <is>
          <t>Discos Bumper</t>
        </is>
      </c>
      <c r="E242" s="2" t="inlineStr">
        <is>
          <t>Best</t>
        </is>
      </c>
      <c r="F242" s="3" t="n">
        <v>123.62</v>
      </c>
      <c r="G242" s="4" t="n">
        <v>-0.9</v>
      </c>
      <c r="H242" s="3" t="n">
        <v>215.78</v>
      </c>
      <c r="I242" s="5" t="n">
        <v>301</v>
      </c>
    </row>
    <row r="243">
      <c r="A243" s="2" t="inlineStr">
        <is>
          <t>IRN-FUE-DIS-0242</t>
        </is>
      </c>
      <c r="B243" s="2" t="inlineStr">
        <is>
          <t>IRONSIDE Hi-Temp 10kg [BEST]</t>
        </is>
      </c>
      <c r="C243" s="2" t="inlineStr">
        <is>
          <t>Fuerza Libre</t>
        </is>
      </c>
      <c r="D243" s="2" t="inlineStr">
        <is>
          <t>Discos Bumper</t>
        </is>
      </c>
      <c r="E243" s="2" t="inlineStr">
        <is>
          <t>Best</t>
        </is>
      </c>
      <c r="F243" s="3" t="n">
        <v>130.85</v>
      </c>
      <c r="G243" s="4" t="n">
        <v>-1.06</v>
      </c>
      <c r="H243" s="3" t="n">
        <v>232.39</v>
      </c>
      <c r="I243" s="5" t="n">
        <v>196</v>
      </c>
    </row>
    <row r="244">
      <c r="A244" s="2" t="inlineStr">
        <is>
          <t>IRN-FUE-DIS-0243</t>
        </is>
      </c>
      <c r="B244" s="2" t="inlineStr">
        <is>
          <t>IRONSIDE Hi-Temp 15kg [BEST]</t>
        </is>
      </c>
      <c r="C244" s="2" t="inlineStr">
        <is>
          <t>Fuerza Libre</t>
        </is>
      </c>
      <c r="D244" s="2" t="inlineStr">
        <is>
          <t>Discos Bumper</t>
        </is>
      </c>
      <c r="E244" s="2" t="inlineStr">
        <is>
          <t>Best</t>
        </is>
      </c>
      <c r="F244" s="3" t="n">
        <v>86.65000000000001</v>
      </c>
      <c r="G244" s="4" t="n">
        <v>-1.04</v>
      </c>
      <c r="H244" s="3" t="n">
        <v>149.01</v>
      </c>
      <c r="I244" s="5" t="n">
        <v>156</v>
      </c>
    </row>
    <row r="245">
      <c r="A245" s="2" t="inlineStr">
        <is>
          <t>IRN-FUE-DIS-0244</t>
        </is>
      </c>
      <c r="B245" s="2" t="inlineStr">
        <is>
          <t>IRONSIDE Hi-Temp 20kg [BETTER]</t>
        </is>
      </c>
      <c r="C245" s="2" t="inlineStr">
        <is>
          <t>Fuerza Libre</t>
        </is>
      </c>
      <c r="D245" s="2" t="inlineStr">
        <is>
          <t>Discos Bumper</t>
        </is>
      </c>
      <c r="E245" s="2" t="inlineStr">
        <is>
          <t>Better</t>
        </is>
      </c>
      <c r="F245" s="3" t="n">
        <v>86.56999999999999</v>
      </c>
      <c r="G245" s="4" t="n">
        <v>-1.61</v>
      </c>
      <c r="H245" s="3" t="n">
        <v>142.51</v>
      </c>
      <c r="I245" s="5" t="n">
        <v>163</v>
      </c>
    </row>
    <row r="246">
      <c r="A246" s="2" t="inlineStr">
        <is>
          <t>IRN-FUE-DIS-0245</t>
        </is>
      </c>
      <c r="B246" s="2" t="inlineStr">
        <is>
          <t>IRONSIDE Hi-Temp 25kg [BETTER]</t>
        </is>
      </c>
      <c r="C246" s="2" t="inlineStr">
        <is>
          <t>Fuerza Libre</t>
        </is>
      </c>
      <c r="D246" s="2" t="inlineStr">
        <is>
          <t>Discos Bumper</t>
        </is>
      </c>
      <c r="E246" s="2" t="inlineStr">
        <is>
          <t>Better</t>
        </is>
      </c>
      <c r="F246" s="3" t="n">
        <v>99.55</v>
      </c>
      <c r="G246" s="4" t="n">
        <v>-1.18</v>
      </c>
      <c r="H246" s="3" t="n">
        <v>166.88</v>
      </c>
      <c r="I246" s="5" t="n">
        <v>226</v>
      </c>
    </row>
    <row r="247">
      <c r="A247" s="2" t="inlineStr">
        <is>
          <t>IRN-FUE-DIS-0246</t>
        </is>
      </c>
      <c r="B247" s="2" t="inlineStr">
        <is>
          <t>IRONSIDE Competition Urethane 10kg [GOOD]</t>
        </is>
      </c>
      <c r="C247" s="2" t="inlineStr">
        <is>
          <t>Fuerza Libre</t>
        </is>
      </c>
      <c r="D247" s="2" t="inlineStr">
        <is>
          <t>Discos Bumper</t>
        </is>
      </c>
      <c r="E247" s="2" t="inlineStr">
        <is>
          <t>Good</t>
        </is>
      </c>
      <c r="F247" s="3" t="n">
        <v>113.4</v>
      </c>
      <c r="G247" s="4" t="n">
        <v>-2.3</v>
      </c>
      <c r="H247" s="3" t="n">
        <v>163.26</v>
      </c>
      <c r="I247" s="5" t="n">
        <v>161</v>
      </c>
    </row>
    <row r="248">
      <c r="A248" s="2" t="inlineStr">
        <is>
          <t>IRN-FUE-DIS-0247</t>
        </is>
      </c>
      <c r="B248" s="2" t="inlineStr">
        <is>
          <t>IRONSIDE Competition Urethane 20kg [BETTER]</t>
        </is>
      </c>
      <c r="C248" s="2" t="inlineStr">
        <is>
          <t>Fuerza Libre</t>
        </is>
      </c>
      <c r="D248" s="2" t="inlineStr">
        <is>
          <t>Discos Bumper</t>
        </is>
      </c>
      <c r="E248" s="2" t="inlineStr">
        <is>
          <t>Better</t>
        </is>
      </c>
      <c r="F248" s="3" t="n">
        <v>72.34</v>
      </c>
      <c r="G248" s="4" t="n">
        <v>-1.55</v>
      </c>
      <c r="H248" s="3" t="n">
        <v>115.27</v>
      </c>
      <c r="I248" s="5" t="n">
        <v>327</v>
      </c>
    </row>
    <row r="249">
      <c r="A249" s="2" t="inlineStr">
        <is>
          <t>IRN-FUE-DIS-0248</t>
        </is>
      </c>
      <c r="B249" s="2" t="inlineStr">
        <is>
          <t>IRONSIDE Fractional Plate Set [BEST]</t>
        </is>
      </c>
      <c r="C249" s="2" t="inlineStr">
        <is>
          <t>Fuerza Libre</t>
        </is>
      </c>
      <c r="D249" s="2" t="inlineStr">
        <is>
          <t>Discos Bumper</t>
        </is>
      </c>
      <c r="E249" s="2" t="inlineStr">
        <is>
          <t>Best</t>
        </is>
      </c>
      <c r="F249" s="3" t="n">
        <v>70.7</v>
      </c>
      <c r="G249" s="4" t="n">
        <v>-0.91</v>
      </c>
      <c r="H249" s="3" t="n">
        <v>132.36</v>
      </c>
      <c r="I249" s="5" t="n">
        <v>121</v>
      </c>
    </row>
    <row r="250">
      <c r="A250" s="2" t="inlineStr">
        <is>
          <t>IRN-FUE-MAN-0249</t>
        </is>
      </c>
      <c r="B250" s="2" t="inlineStr">
        <is>
          <t>IRONSIDE Hex Dumbbell 2.5kg [GOOD]</t>
        </is>
      </c>
      <c r="C250" s="2" t="inlineStr">
        <is>
          <t>Fuerza Libre</t>
        </is>
      </c>
      <c r="D250" s="2" t="inlineStr">
        <is>
          <t>Mancuernas</t>
        </is>
      </c>
      <c r="E250" s="2" t="inlineStr">
        <is>
          <t>Good</t>
        </is>
      </c>
      <c r="F250" s="3" t="n">
        <v>59.4</v>
      </c>
      <c r="G250" s="4" t="n">
        <v>-2.39</v>
      </c>
      <c r="H250" s="3" t="n">
        <v>89.56</v>
      </c>
      <c r="I250" s="5" t="n">
        <v>235</v>
      </c>
    </row>
    <row r="251">
      <c r="A251" s="2" t="inlineStr">
        <is>
          <t>IRN-FUE-MAN-0250</t>
        </is>
      </c>
      <c r="B251" s="2" t="inlineStr">
        <is>
          <t>IRONSIDE Hex Dumbbell 5kg [BETTER]</t>
        </is>
      </c>
      <c r="C251" s="2" t="inlineStr">
        <is>
          <t>Fuerza Libre</t>
        </is>
      </c>
      <c r="D251" s="2" t="inlineStr">
        <is>
          <t>Mancuernas</t>
        </is>
      </c>
      <c r="E251" s="2" t="inlineStr">
        <is>
          <t>Better</t>
        </is>
      </c>
      <c r="F251" s="3" t="n">
        <v>81.73999999999999</v>
      </c>
      <c r="G251" s="4" t="n">
        <v>-1.54</v>
      </c>
      <c r="H251" s="3" t="n">
        <v>128</v>
      </c>
      <c r="I251" s="5" t="n">
        <v>46</v>
      </c>
    </row>
    <row r="252">
      <c r="A252" s="2" t="inlineStr">
        <is>
          <t>IRN-FUE-MAN-0251</t>
        </is>
      </c>
      <c r="B252" s="2" t="inlineStr">
        <is>
          <t>IRONSIDE Hex Dumbbell 10kg [GOOD]</t>
        </is>
      </c>
      <c r="C252" s="2" t="inlineStr">
        <is>
          <t>Fuerza Libre</t>
        </is>
      </c>
      <c r="D252" s="2" t="inlineStr">
        <is>
          <t>Mancuernas</t>
        </is>
      </c>
      <c r="E252" s="2" t="inlineStr">
        <is>
          <t>Good</t>
        </is>
      </c>
      <c r="F252" s="3" t="n">
        <v>15.19</v>
      </c>
      <c r="G252" s="4" t="n">
        <v>-1.64</v>
      </c>
      <c r="H252" s="3" t="n">
        <v>22.14</v>
      </c>
      <c r="I252" s="5" t="n">
        <v>78</v>
      </c>
    </row>
    <row r="253">
      <c r="A253" s="2" t="inlineStr">
        <is>
          <t>IRN-FUE-MAN-0252</t>
        </is>
      </c>
      <c r="B253" s="2" t="inlineStr">
        <is>
          <t>IRONSIDE Hex Dumbbell 15kg [BEST]</t>
        </is>
      </c>
      <c r="C253" s="2" t="inlineStr">
        <is>
          <t>Fuerza Libre</t>
        </is>
      </c>
      <c r="D253" s="2" t="inlineStr">
        <is>
          <t>Mancuernas</t>
        </is>
      </c>
      <c r="E253" s="2" t="inlineStr">
        <is>
          <t>Best</t>
        </is>
      </c>
      <c r="F253" s="3" t="n">
        <v>100.53</v>
      </c>
      <c r="G253" s="4" t="n">
        <v>-0.9</v>
      </c>
      <c r="H253" s="3" t="n">
        <v>189.02</v>
      </c>
      <c r="I253" s="5" t="n">
        <v>55</v>
      </c>
    </row>
    <row r="254">
      <c r="A254" s="2" t="inlineStr">
        <is>
          <t>IRN-FUE-MAN-0253</t>
        </is>
      </c>
      <c r="B254" s="2" t="inlineStr">
        <is>
          <t>IRONSIDE Hex Dumbbell 20kg [BETTER]</t>
        </is>
      </c>
      <c r="C254" s="2" t="inlineStr">
        <is>
          <t>Fuerza Libre</t>
        </is>
      </c>
      <c r="D254" s="2" t="inlineStr">
        <is>
          <t>Mancuernas</t>
        </is>
      </c>
      <c r="E254" s="2" t="inlineStr">
        <is>
          <t>Better</t>
        </is>
      </c>
      <c r="F254" s="3" t="n">
        <v>56.22</v>
      </c>
      <c r="G254" s="4" t="n">
        <v>-1.43</v>
      </c>
      <c r="H254" s="3" t="n">
        <v>87.34</v>
      </c>
      <c r="I254" s="5" t="n">
        <v>338</v>
      </c>
    </row>
    <row r="255">
      <c r="A255" s="2" t="inlineStr">
        <is>
          <t>IRN-FUE-MAN-0254</t>
        </is>
      </c>
      <c r="B255" s="2" t="inlineStr">
        <is>
          <t>IRONSIDE Hex Dumbbell 25kg [GOOD]</t>
        </is>
      </c>
      <c r="C255" s="2" t="inlineStr">
        <is>
          <t>Fuerza Libre</t>
        </is>
      </c>
      <c r="D255" s="2" t="inlineStr">
        <is>
          <t>Mancuernas</t>
        </is>
      </c>
      <c r="E255" s="2" t="inlineStr">
        <is>
          <t>Good</t>
        </is>
      </c>
      <c r="F255" s="3" t="n">
        <v>57.38</v>
      </c>
      <c r="G255" s="4" t="n">
        <v>-2.01</v>
      </c>
      <c r="H255" s="3" t="n">
        <v>82.75</v>
      </c>
      <c r="I255" s="5" t="n">
        <v>230</v>
      </c>
    </row>
    <row r="256">
      <c r="A256" s="2" t="inlineStr">
        <is>
          <t>IRN-FUE-MAN-0255</t>
        </is>
      </c>
      <c r="B256" s="2" t="inlineStr">
        <is>
          <t>IRONSIDE Hex Dumbbell 30kg [BETTER]</t>
        </is>
      </c>
      <c r="C256" s="2" t="inlineStr">
        <is>
          <t>Fuerza Libre</t>
        </is>
      </c>
      <c r="D256" s="2" t="inlineStr">
        <is>
          <t>Mancuernas</t>
        </is>
      </c>
      <c r="E256" s="2" t="inlineStr">
        <is>
          <t>Better</t>
        </is>
      </c>
      <c r="F256" s="3" t="n">
        <v>59.92</v>
      </c>
      <c r="G256" s="4" t="n">
        <v>-1.48</v>
      </c>
      <c r="H256" s="3" t="n">
        <v>96.75</v>
      </c>
      <c r="I256" s="5" t="n">
        <v>201</v>
      </c>
    </row>
    <row r="257">
      <c r="A257" s="2" t="inlineStr">
        <is>
          <t>IRN-FUE-MAN-0256</t>
        </is>
      </c>
      <c r="B257" s="2" t="inlineStr">
        <is>
          <t>IRONSIDE Round Urethane Dumbbell 20kg [BETTER]</t>
        </is>
      </c>
      <c r="C257" s="2" t="inlineStr">
        <is>
          <t>Fuerza Libre</t>
        </is>
      </c>
      <c r="D257" s="2" t="inlineStr">
        <is>
          <t>Mancuernas</t>
        </is>
      </c>
      <c r="E257" s="2" t="inlineStr">
        <is>
          <t>Better</t>
        </is>
      </c>
      <c r="F257" s="3" t="n">
        <v>12.05</v>
      </c>
      <c r="G257" s="4" t="n">
        <v>-1.66</v>
      </c>
      <c r="H257" s="3" t="n">
        <v>19.69</v>
      </c>
      <c r="I257" s="5" t="n">
        <v>88</v>
      </c>
    </row>
    <row r="258">
      <c r="A258" s="2" t="inlineStr">
        <is>
          <t>IRN-FUE-KET-0257</t>
        </is>
      </c>
      <c r="B258" s="2" t="inlineStr">
        <is>
          <t>IRONSIDE Competition Russian 8kg [BETTER]</t>
        </is>
      </c>
      <c r="C258" s="2" t="inlineStr">
        <is>
          <t>Fuerza Libre</t>
        </is>
      </c>
      <c r="D258" s="2" t="inlineStr">
        <is>
          <t>Kettlebells</t>
        </is>
      </c>
      <c r="E258" s="2" t="inlineStr">
        <is>
          <t>Better</t>
        </is>
      </c>
      <c r="F258" s="3" t="n">
        <v>72.73</v>
      </c>
      <c r="G258" s="4" t="n">
        <v>-1.62</v>
      </c>
      <c r="H258" s="3" t="n">
        <v>123.52</v>
      </c>
      <c r="I258" s="5" t="n">
        <v>45</v>
      </c>
    </row>
    <row r="259">
      <c r="A259" s="2" t="inlineStr">
        <is>
          <t>IRN-FUE-KET-0258</t>
        </is>
      </c>
      <c r="B259" s="2" t="inlineStr">
        <is>
          <t>IRONSIDE Competition Russian 12kg [GOOD]</t>
        </is>
      </c>
      <c r="C259" s="2" t="inlineStr">
        <is>
          <t>Fuerza Libre</t>
        </is>
      </c>
      <c r="D259" s="2" t="inlineStr">
        <is>
          <t>Kettlebells</t>
        </is>
      </c>
      <c r="E259" s="2" t="inlineStr">
        <is>
          <t>Good</t>
        </is>
      </c>
      <c r="F259" s="3" t="n">
        <v>38.13</v>
      </c>
      <c r="G259" s="4" t="n">
        <v>-2.56</v>
      </c>
      <c r="H259" s="3" t="n">
        <v>56.57</v>
      </c>
      <c r="I259" s="5" t="n">
        <v>51</v>
      </c>
    </row>
    <row r="260">
      <c r="A260" s="2" t="inlineStr">
        <is>
          <t>IRN-FUE-KET-0259</t>
        </is>
      </c>
      <c r="B260" s="2" t="inlineStr">
        <is>
          <t>IRONSIDE Competition Russian 16kg [BETTER]</t>
        </is>
      </c>
      <c r="C260" s="2" t="inlineStr">
        <is>
          <t>Fuerza Libre</t>
        </is>
      </c>
      <c r="D260" s="2" t="inlineStr">
        <is>
          <t>Kettlebells</t>
        </is>
      </c>
      <c r="E260" s="2" t="inlineStr">
        <is>
          <t>Better</t>
        </is>
      </c>
      <c r="F260" s="3" t="n">
        <v>52.53</v>
      </c>
      <c r="G260" s="4" t="n">
        <v>-1.39</v>
      </c>
      <c r="H260" s="3" t="n">
        <v>82.5</v>
      </c>
      <c r="I260" s="5" t="n">
        <v>136</v>
      </c>
    </row>
    <row r="261">
      <c r="A261" s="2" t="inlineStr">
        <is>
          <t>IRN-FUE-KET-0260</t>
        </is>
      </c>
      <c r="B261" s="2" t="inlineStr">
        <is>
          <t>IRONSIDE Competition Russian 20kg [GOOD]</t>
        </is>
      </c>
      <c r="C261" s="2" t="inlineStr">
        <is>
          <t>Fuerza Libre</t>
        </is>
      </c>
      <c r="D261" s="2" t="inlineStr">
        <is>
          <t>Kettlebells</t>
        </is>
      </c>
      <c r="E261" s="2" t="inlineStr">
        <is>
          <t>Good</t>
        </is>
      </c>
      <c r="F261" s="3" t="n">
        <v>73.48</v>
      </c>
      <c r="G261" s="4" t="n">
        <v>-1.61</v>
      </c>
      <c r="H261" s="3" t="n">
        <v>113.14</v>
      </c>
      <c r="I261" s="5" t="n">
        <v>115</v>
      </c>
    </row>
    <row r="262">
      <c r="A262" s="2" t="inlineStr">
        <is>
          <t>IRN-FUE-KET-0261</t>
        </is>
      </c>
      <c r="B262" s="2" t="inlineStr">
        <is>
          <t>IRONSIDE Competition Russian 24kg [BETTER]</t>
        </is>
      </c>
      <c r="C262" s="2" t="inlineStr">
        <is>
          <t>Fuerza Libre</t>
        </is>
      </c>
      <c r="D262" s="2" t="inlineStr">
        <is>
          <t>Kettlebells</t>
        </is>
      </c>
      <c r="E262" s="2" t="inlineStr">
        <is>
          <t>Better</t>
        </is>
      </c>
      <c r="F262" s="3" t="n">
        <v>37.19</v>
      </c>
      <c r="G262" s="4" t="n">
        <v>-1.36</v>
      </c>
      <c r="H262" s="3" t="n">
        <v>62.27</v>
      </c>
      <c r="I262" s="5" t="n">
        <v>196</v>
      </c>
    </row>
    <row r="263">
      <c r="A263" s="2" t="inlineStr">
        <is>
          <t>IRN-FUE-KET-0262</t>
        </is>
      </c>
      <c r="B263" s="2" t="inlineStr">
        <is>
          <t>IRONSIDE Competition Russian 32kg [BETTER]</t>
        </is>
      </c>
      <c r="C263" s="2" t="inlineStr">
        <is>
          <t>Fuerza Libre</t>
        </is>
      </c>
      <c r="D263" s="2" t="inlineStr">
        <is>
          <t>Kettlebells</t>
        </is>
      </c>
      <c r="E263" s="2" t="inlineStr">
        <is>
          <t>Better</t>
        </is>
      </c>
      <c r="F263" s="3" t="n">
        <v>15.6</v>
      </c>
      <c r="G263" s="4" t="n">
        <v>-1.22</v>
      </c>
      <c r="H263" s="3" t="n">
        <v>24.44</v>
      </c>
      <c r="I263" s="5" t="n">
        <v>93</v>
      </c>
    </row>
    <row r="264">
      <c r="A264" s="2" t="inlineStr">
        <is>
          <t>IRN-FUE-KET-0263</t>
        </is>
      </c>
      <c r="B264" s="2" t="inlineStr">
        <is>
          <t>IRONSIDE Cast Iron Powder Coat 16kg [BETTER]</t>
        </is>
      </c>
      <c r="C264" s="2" t="inlineStr">
        <is>
          <t>Fuerza Libre</t>
        </is>
      </c>
      <c r="D264" s="2" t="inlineStr">
        <is>
          <t>Kettlebells</t>
        </is>
      </c>
      <c r="E264" s="2" t="inlineStr">
        <is>
          <t>Better</t>
        </is>
      </c>
      <c r="F264" s="3" t="n">
        <v>66.89</v>
      </c>
      <c r="G264" s="4" t="n">
        <v>-1.35</v>
      </c>
      <c r="H264" s="3" t="n">
        <v>108.44</v>
      </c>
      <c r="I264" s="5" t="n">
        <v>376</v>
      </c>
    </row>
    <row r="265">
      <c r="A265" s="2" t="inlineStr">
        <is>
          <t>IRN-RAC-POW-0264</t>
        </is>
      </c>
      <c r="B265" s="2" t="inlineStr">
        <is>
          <t>IRONSIDE Commercial Monster Rack 3x3 [BETTER]</t>
        </is>
      </c>
      <c r="C265" s="2" t="inlineStr">
        <is>
          <t>Racks &amp; Estructuras</t>
        </is>
      </c>
      <c r="D265" s="2" t="inlineStr">
        <is>
          <t>Power Racks</t>
        </is>
      </c>
      <c r="E265" s="2" t="inlineStr">
        <is>
          <t>Better</t>
        </is>
      </c>
      <c r="F265" s="3" t="n">
        <v>712.4299999999999</v>
      </c>
      <c r="G265" s="4" t="n">
        <v>-1.47</v>
      </c>
      <c r="H265" s="3" t="n">
        <v>1171.49</v>
      </c>
      <c r="I265" s="5" t="n">
        <v>230</v>
      </c>
    </row>
    <row r="266">
      <c r="A266" s="2" t="inlineStr">
        <is>
          <t>IRN-RAC-POW-0265</t>
        </is>
      </c>
      <c r="B266" s="2" t="inlineStr">
        <is>
          <t>IRONSIDE Standard Power Cage 75x75 [BEST]</t>
        </is>
      </c>
      <c r="C266" s="2" t="inlineStr">
        <is>
          <t>Racks &amp; Estructuras</t>
        </is>
      </c>
      <c r="D266" s="2" t="inlineStr">
        <is>
          <t>Power Racks</t>
        </is>
      </c>
      <c r="E266" s="2" t="inlineStr">
        <is>
          <t>Best</t>
        </is>
      </c>
      <c r="F266" s="3" t="n">
        <v>503.73</v>
      </c>
      <c r="G266" s="4" t="n">
        <v>-1.01</v>
      </c>
      <c r="H266" s="3" t="n">
        <v>944.5599999999999</v>
      </c>
      <c r="I266" s="5" t="n">
        <v>127</v>
      </c>
    </row>
    <row r="267">
      <c r="A267" s="2" t="inlineStr">
        <is>
          <t>IRN-RAC-POW-0266</t>
        </is>
      </c>
      <c r="B267" s="2" t="inlineStr">
        <is>
          <t>IRONSIDE Half Rack Commercial [GOOD]</t>
        </is>
      </c>
      <c r="C267" s="2" t="inlineStr">
        <is>
          <t>Racks &amp; Estructuras</t>
        </is>
      </c>
      <c r="D267" s="2" t="inlineStr">
        <is>
          <t>Power Racks</t>
        </is>
      </c>
      <c r="E267" s="2" t="inlineStr">
        <is>
          <t>Good</t>
        </is>
      </c>
      <c r="F267" s="3" t="n">
        <v>711.39</v>
      </c>
      <c r="G267" s="4" t="n">
        <v>-1.28</v>
      </c>
      <c r="H267" s="3" t="n">
        <v>1078.64</v>
      </c>
      <c r="I267" s="5" t="n">
        <v>111</v>
      </c>
    </row>
    <row r="268">
      <c r="A268" s="2" t="inlineStr">
        <is>
          <t>IRN-RAC-POW-0267</t>
        </is>
      </c>
      <c r="B268" s="2" t="inlineStr">
        <is>
          <t>IRONSIDE Wall-Mount Folding Rack [BETTER]</t>
        </is>
      </c>
      <c r="C268" s="2" t="inlineStr">
        <is>
          <t>Racks &amp; Estructuras</t>
        </is>
      </c>
      <c r="D268" s="2" t="inlineStr">
        <is>
          <t>Power Racks</t>
        </is>
      </c>
      <c r="E268" s="2" t="inlineStr">
        <is>
          <t>Better</t>
        </is>
      </c>
      <c r="F268" s="3" t="n">
        <v>694.05</v>
      </c>
      <c r="G268" s="4" t="n">
        <v>-1.42</v>
      </c>
      <c r="H268" s="3" t="n">
        <v>1125.58</v>
      </c>
      <c r="I268" s="5" t="n">
        <v>59</v>
      </c>
    </row>
    <row r="269">
      <c r="A269" s="2" t="inlineStr">
        <is>
          <t>IRN-RAC-SQU-0268</t>
        </is>
      </c>
      <c r="B269" s="2" t="inlineStr">
        <is>
          <t>IRONSIDE Independent Squat Stand Pro [BETTER]</t>
        </is>
      </c>
      <c r="C269" s="2" t="inlineStr">
        <is>
          <t>Racks &amp; Estructuras</t>
        </is>
      </c>
      <c r="D269" s="2" t="inlineStr">
        <is>
          <t>Squat Stands</t>
        </is>
      </c>
      <c r="E269" s="2" t="inlineStr">
        <is>
          <t>Better</t>
        </is>
      </c>
      <c r="F269" s="3" t="n">
        <v>245.91</v>
      </c>
      <c r="G269" s="4" t="n">
        <v>-1.28</v>
      </c>
      <c r="H269" s="3" t="n">
        <v>413.17</v>
      </c>
      <c r="I269" s="5" t="n">
        <v>220</v>
      </c>
    </row>
    <row r="270">
      <c r="A270" s="2" t="inlineStr">
        <is>
          <t>IRN-RAC-SQU-0269</t>
        </is>
      </c>
      <c r="B270" s="2" t="inlineStr">
        <is>
          <t>IRONSIDE Yoke Squat Stand Heavy [BETTER]</t>
        </is>
      </c>
      <c r="C270" s="2" t="inlineStr">
        <is>
          <t>Racks &amp; Estructuras</t>
        </is>
      </c>
      <c r="D270" s="2" t="inlineStr">
        <is>
          <t>Squat Stands</t>
        </is>
      </c>
      <c r="E270" s="2" t="inlineStr">
        <is>
          <t>Better</t>
        </is>
      </c>
      <c r="F270" s="3" t="n">
        <v>154.63</v>
      </c>
      <c r="G270" s="4" t="n">
        <v>-1.24</v>
      </c>
      <c r="H270" s="3" t="n">
        <v>252.62</v>
      </c>
      <c r="I270" s="5" t="n">
        <v>91</v>
      </c>
    </row>
    <row r="271">
      <c r="A271" s="2" t="inlineStr">
        <is>
          <t>IRN-RAC-SQU-0270</t>
        </is>
      </c>
      <c r="B271" s="2" t="inlineStr">
        <is>
          <t>IRONSIDE Compact Stand Home Gym [BETTER]</t>
        </is>
      </c>
      <c r="C271" s="2" t="inlineStr">
        <is>
          <t>Racks &amp; Estructuras</t>
        </is>
      </c>
      <c r="D271" s="2" t="inlineStr">
        <is>
          <t>Squat Stands</t>
        </is>
      </c>
      <c r="E271" s="2" t="inlineStr">
        <is>
          <t>Better</t>
        </is>
      </c>
      <c r="F271" s="3" t="n">
        <v>283.03</v>
      </c>
      <c r="G271" s="4" t="n">
        <v>-1.27</v>
      </c>
      <c r="H271" s="3" t="n">
        <v>459.07</v>
      </c>
      <c r="I271" s="5" t="n">
        <v>218</v>
      </c>
    </row>
    <row r="272">
      <c r="A272" s="2" t="inlineStr">
        <is>
          <t>IRN-RAC-BAN-0271</t>
        </is>
      </c>
      <c r="B272" s="2" t="inlineStr">
        <is>
          <t>IRONSIDE Flat Competition Bench [GOOD]</t>
        </is>
      </c>
      <c r="C272" s="2" t="inlineStr">
        <is>
          <t>Racks &amp; Estructuras</t>
        </is>
      </c>
      <c r="D272" s="2" t="inlineStr">
        <is>
          <t>Bancos</t>
        </is>
      </c>
      <c r="E272" s="2" t="inlineStr">
        <is>
          <t>Good</t>
        </is>
      </c>
      <c r="F272" s="3" t="n">
        <v>179.55</v>
      </c>
      <c r="G272" s="4" t="n">
        <v>-1.13</v>
      </c>
      <c r="H272" s="3" t="n">
        <v>275.5</v>
      </c>
      <c r="I272" s="5" t="n">
        <v>103</v>
      </c>
    </row>
    <row r="273">
      <c r="A273" s="2" t="inlineStr">
        <is>
          <t>IRN-RAC-BAN-0272</t>
        </is>
      </c>
      <c r="B273" s="2" t="inlineStr">
        <is>
          <t>IRONSIDE Adjustable Incline/Decline FID Bench [BEST]</t>
        </is>
      </c>
      <c r="C273" s="2" t="inlineStr">
        <is>
          <t>Racks &amp; Estructuras</t>
        </is>
      </c>
      <c r="D273" s="2" t="inlineStr">
        <is>
          <t>Bancos</t>
        </is>
      </c>
      <c r="E273" s="2" t="inlineStr">
        <is>
          <t>Best</t>
        </is>
      </c>
      <c r="F273" s="3" t="n">
        <v>153.67</v>
      </c>
      <c r="G273" s="4" t="n">
        <v>-0.8100000000000001</v>
      </c>
      <c r="H273" s="3" t="n">
        <v>288.67</v>
      </c>
      <c r="I273" s="5" t="n">
        <v>128</v>
      </c>
    </row>
    <row r="274">
      <c r="A274" s="2" t="inlineStr">
        <is>
          <t>IRN-RAC-BAN-0273</t>
        </is>
      </c>
      <c r="B274" s="2" t="inlineStr">
        <is>
          <t>IRONSIDE Zero Gap Commercial Bench [BETTER]</t>
        </is>
      </c>
      <c r="C274" s="2" t="inlineStr">
        <is>
          <t>Racks &amp; Estructuras</t>
        </is>
      </c>
      <c r="D274" s="2" t="inlineStr">
        <is>
          <t>Bancos</t>
        </is>
      </c>
      <c r="E274" s="2" t="inlineStr">
        <is>
          <t>Better</t>
        </is>
      </c>
      <c r="F274" s="3" t="n">
        <v>114.19</v>
      </c>
      <c r="G274" s="4" t="n">
        <v>-1.62</v>
      </c>
      <c r="H274" s="3" t="n">
        <v>181.64</v>
      </c>
      <c r="I274" s="5" t="n">
        <v>84</v>
      </c>
    </row>
    <row r="275">
      <c r="A275" s="2" t="inlineStr">
        <is>
          <t>IRN-RAC-BAN-0274</t>
        </is>
      </c>
      <c r="B275" s="2" t="inlineStr">
        <is>
          <t>IRONSIDE Foldable Utility Bench [BETTER]</t>
        </is>
      </c>
      <c r="C275" s="2" t="inlineStr">
        <is>
          <t>Racks &amp; Estructuras</t>
        </is>
      </c>
      <c r="D275" s="2" t="inlineStr">
        <is>
          <t>Bancos</t>
        </is>
      </c>
      <c r="E275" s="2" t="inlineStr">
        <is>
          <t>Better</t>
        </is>
      </c>
      <c r="F275" s="3" t="n">
        <v>204.98</v>
      </c>
      <c r="G275" s="4" t="n">
        <v>-1.56</v>
      </c>
      <c r="H275" s="3" t="n">
        <v>338.31</v>
      </c>
      <c r="I275" s="5" t="n">
        <v>178</v>
      </c>
    </row>
    <row r="276">
      <c r="A276" s="2" t="inlineStr">
        <is>
          <t>IRN-RAC-ACC-0275</t>
        </is>
      </c>
      <c r="B276" s="2" t="inlineStr">
        <is>
          <t>IRONSIDE Sandwich J-Cups Pair [GOOD]</t>
        </is>
      </c>
      <c r="C276" s="2" t="inlineStr">
        <is>
          <t>Racks &amp; Estructuras</t>
        </is>
      </c>
      <c r="D276" s="2" t="inlineStr">
        <is>
          <t>Accesorios Racks</t>
        </is>
      </c>
      <c r="E276" s="2" t="inlineStr">
        <is>
          <t>Good</t>
        </is>
      </c>
      <c r="F276" s="3" t="n">
        <v>67.56999999999999</v>
      </c>
      <c r="G276" s="4" t="n">
        <v>-1.11</v>
      </c>
      <c r="H276" s="3" t="n">
        <v>101.5</v>
      </c>
      <c r="I276" s="5" t="n">
        <v>155</v>
      </c>
    </row>
    <row r="277">
      <c r="A277" s="2" t="inlineStr">
        <is>
          <t>IRN-RAC-ACC-0276</t>
        </is>
      </c>
      <c r="B277" s="2" t="inlineStr">
        <is>
          <t>IRONSIDE Spotter Safety Arms [GOOD]</t>
        </is>
      </c>
      <c r="C277" s="2" t="inlineStr">
        <is>
          <t>Racks &amp; Estructuras</t>
        </is>
      </c>
      <c r="D277" s="2" t="inlineStr">
        <is>
          <t>Accesorios Racks</t>
        </is>
      </c>
      <c r="E277" s="2" t="inlineStr">
        <is>
          <t>Good</t>
        </is>
      </c>
      <c r="F277" s="3" t="n">
        <v>112.82</v>
      </c>
      <c r="G277" s="4" t="n">
        <v>-1.12</v>
      </c>
      <c r="H277" s="3" t="n">
        <v>166</v>
      </c>
      <c r="I277" s="5" t="n">
        <v>208</v>
      </c>
    </row>
    <row r="278">
      <c r="A278" s="2" t="inlineStr">
        <is>
          <t>IRN-RAC-ACC-0277</t>
        </is>
      </c>
      <c r="B278" s="2" t="inlineStr">
        <is>
          <t>IRONSIDE Dip Station Attachment [GOOD]</t>
        </is>
      </c>
      <c r="C278" s="2" t="inlineStr">
        <is>
          <t>Racks &amp; Estructuras</t>
        </is>
      </c>
      <c r="D278" s="2" t="inlineStr">
        <is>
          <t>Accesorios Racks</t>
        </is>
      </c>
      <c r="E278" s="2" t="inlineStr">
        <is>
          <t>Good</t>
        </is>
      </c>
      <c r="F278" s="3" t="n">
        <v>111.84</v>
      </c>
      <c r="G278" s="4" t="n">
        <v>-1.26</v>
      </c>
      <c r="H278" s="3" t="n">
        <v>158.08</v>
      </c>
      <c r="I278" s="5" t="n">
        <v>151</v>
      </c>
    </row>
    <row r="279">
      <c r="A279" s="2" t="inlineStr">
        <is>
          <t>IRN-RAC-ACC-0278</t>
        </is>
      </c>
      <c r="B279" s="2" t="inlineStr">
        <is>
          <t>IRONSIDE Jammer Arms Set [BEST]</t>
        </is>
      </c>
      <c r="C279" s="2" t="inlineStr">
        <is>
          <t>Racks &amp; Estructuras</t>
        </is>
      </c>
      <c r="D279" s="2" t="inlineStr">
        <is>
          <t>Accesorios Racks</t>
        </is>
      </c>
      <c r="E279" s="2" t="inlineStr">
        <is>
          <t>Best</t>
        </is>
      </c>
      <c r="F279" s="3" t="n">
        <v>34.43</v>
      </c>
      <c r="G279" s="4" t="n">
        <v>-1.18</v>
      </c>
      <c r="H279" s="3" t="n">
        <v>62.13</v>
      </c>
      <c r="I279" s="5" t="n">
        <v>250</v>
      </c>
    </row>
    <row r="280">
      <c r="A280" s="2" t="inlineStr">
        <is>
          <t>IRN-RAC-ACC-0279</t>
        </is>
      </c>
      <c r="B280" s="2" t="inlineStr">
        <is>
          <t>IRONSIDE Landmine Heavy Attachment [BEST]</t>
        </is>
      </c>
      <c r="C280" s="2" t="inlineStr">
        <is>
          <t>Racks &amp; Estructuras</t>
        </is>
      </c>
      <c r="D280" s="2" t="inlineStr">
        <is>
          <t>Accesorios Racks</t>
        </is>
      </c>
      <c r="E280" s="2" t="inlineStr">
        <is>
          <t>Best</t>
        </is>
      </c>
      <c r="F280" s="3" t="n">
        <v>171.29</v>
      </c>
      <c r="G280" s="4" t="n">
        <v>-0.67</v>
      </c>
      <c r="H280" s="3" t="n">
        <v>323.27</v>
      </c>
      <c r="I280" s="5" t="n">
        <v>89</v>
      </c>
    </row>
    <row r="281">
      <c r="A281" s="2" t="inlineStr">
        <is>
          <t>IRN-CAR-AIR-0280</t>
        </is>
      </c>
      <c r="B281" s="2" t="inlineStr">
        <is>
          <t>IRONSIDE Commercial Wind Resistance Air Bike [GOOD]</t>
        </is>
      </c>
      <c r="C281" s="2" t="inlineStr">
        <is>
          <t>Cardio</t>
        </is>
      </c>
      <c r="D281" s="2" t="inlineStr">
        <is>
          <t>Air Bikes</t>
        </is>
      </c>
      <c r="E281" s="2" t="inlineStr">
        <is>
          <t>Good</t>
        </is>
      </c>
      <c r="F281" s="3" t="n">
        <v>468.57</v>
      </c>
      <c r="G281" s="4" t="n">
        <v>-0.87</v>
      </c>
      <c r="H281" s="3" t="n">
        <v>725.09</v>
      </c>
      <c r="I281" s="5" t="n">
        <v>179</v>
      </c>
    </row>
    <row r="282">
      <c r="A282" s="2" t="inlineStr">
        <is>
          <t>IRN-CAR-AIR-0281</t>
        </is>
      </c>
      <c r="B282" s="2" t="inlineStr">
        <is>
          <t>IRONSIDE Pro Heavy-Duty Fan Bike [BETTER]</t>
        </is>
      </c>
      <c r="C282" s="2" t="inlineStr">
        <is>
          <t>Cardio</t>
        </is>
      </c>
      <c r="D282" s="2" t="inlineStr">
        <is>
          <t>Air Bikes</t>
        </is>
      </c>
      <c r="E282" s="2" t="inlineStr">
        <is>
          <t>Better</t>
        </is>
      </c>
      <c r="F282" s="3" t="n">
        <v>689.26</v>
      </c>
      <c r="G282" s="4" t="n">
        <v>-1</v>
      </c>
      <c r="H282" s="3" t="n">
        <v>1116.74</v>
      </c>
      <c r="I282" s="5" t="n">
        <v>43</v>
      </c>
    </row>
    <row r="283">
      <c r="A283" s="2" t="inlineStr">
        <is>
          <t>IRN-CAR-AIR-0282</t>
        </is>
      </c>
      <c r="B283" s="2" t="inlineStr">
        <is>
          <t>IRONSIDE Compact Air Bike [BETTER]</t>
        </is>
      </c>
      <c r="C283" s="2" t="inlineStr">
        <is>
          <t>Cardio</t>
        </is>
      </c>
      <c r="D283" s="2" t="inlineStr">
        <is>
          <t>Air Bikes</t>
        </is>
      </c>
      <c r="E283" s="2" t="inlineStr">
        <is>
          <t>Better</t>
        </is>
      </c>
      <c r="F283" s="3" t="n">
        <v>561.74</v>
      </c>
      <c r="G283" s="4" t="n">
        <v>-0.86</v>
      </c>
      <c r="H283" s="3" t="n">
        <v>871.88</v>
      </c>
      <c r="I283" s="5" t="n">
        <v>90</v>
      </c>
    </row>
    <row r="284">
      <c r="A284" s="2" t="inlineStr">
        <is>
          <t>IRN-CAR-REM-0283</t>
        </is>
      </c>
      <c r="B284" s="2" t="inlineStr">
        <is>
          <t>IRONSIDE Air Rower with PM5 Performance Monitor [BETTER]</t>
        </is>
      </c>
      <c r="C284" s="2" t="inlineStr">
        <is>
          <t>Cardio</t>
        </is>
      </c>
      <c r="D284" s="2" t="inlineStr">
        <is>
          <t>Remos</t>
        </is>
      </c>
      <c r="E284" s="2" t="inlineStr">
        <is>
          <t>Better</t>
        </is>
      </c>
      <c r="F284" s="3" t="n">
        <v>401.13</v>
      </c>
      <c r="G284" s="4" t="n">
        <v>-1</v>
      </c>
      <c r="H284" s="3" t="n">
        <v>675.73</v>
      </c>
      <c r="I284" s="5" t="n">
        <v>146</v>
      </c>
    </row>
    <row r="285">
      <c r="A285" s="2" t="inlineStr">
        <is>
          <t>IRN-CAR-REM-0284</t>
        </is>
      </c>
      <c r="B285" s="2" t="inlineStr">
        <is>
          <t>IRONSIDE Magnetic Resistance Water Rower [BETTER]</t>
        </is>
      </c>
      <c r="C285" s="2" t="inlineStr">
        <is>
          <t>Cardio</t>
        </is>
      </c>
      <c r="D285" s="2" t="inlineStr">
        <is>
          <t>Remos</t>
        </is>
      </c>
      <c r="E285" s="2" t="inlineStr">
        <is>
          <t>Better</t>
        </is>
      </c>
      <c r="F285" s="3" t="n">
        <v>357.52</v>
      </c>
      <c r="G285" s="4" t="n">
        <v>-1.04</v>
      </c>
      <c r="H285" s="3" t="n">
        <v>579.76</v>
      </c>
      <c r="I285" s="5" t="n">
        <v>83</v>
      </c>
    </row>
    <row r="286">
      <c r="A286" s="2" t="inlineStr">
        <is>
          <t>IRN-CAR-REM-0285</t>
        </is>
      </c>
      <c r="B286" s="2" t="inlineStr">
        <is>
          <t>IRONSIDE Commercial Foldable Rower [GOOD]</t>
        </is>
      </c>
      <c r="C286" s="2" t="inlineStr">
        <is>
          <t>Cardio</t>
        </is>
      </c>
      <c r="D286" s="2" t="inlineStr">
        <is>
          <t>Remos</t>
        </is>
      </c>
      <c r="E286" s="2" t="inlineStr">
        <is>
          <t>Good</t>
        </is>
      </c>
      <c r="F286" s="3" t="n">
        <v>637.2</v>
      </c>
      <c r="G286" s="4" t="n">
        <v>-1.04</v>
      </c>
      <c r="H286" s="3" t="n">
        <v>920.9400000000001</v>
      </c>
      <c r="I286" s="5" t="n">
        <v>17</v>
      </c>
    </row>
    <row r="287">
      <c r="A287" s="2" t="inlineStr">
        <is>
          <t>IRN-CAR-SKI-0286</t>
        </is>
      </c>
      <c r="B287" s="2" t="inlineStr">
        <is>
          <t>IRONSIDE Wall Mount Ski Ergometer [BETTER]</t>
        </is>
      </c>
      <c r="C287" s="2" t="inlineStr">
        <is>
          <t>Cardio</t>
        </is>
      </c>
      <c r="D287" s="2" t="inlineStr">
        <is>
          <t>Ski Trainers</t>
        </is>
      </c>
      <c r="E287" s="2" t="inlineStr">
        <is>
          <t>Better</t>
        </is>
      </c>
      <c r="F287" s="3" t="n">
        <v>439.79</v>
      </c>
      <c r="G287" s="4" t="n">
        <v>-0.9</v>
      </c>
      <c r="H287" s="3" t="n">
        <v>712.38</v>
      </c>
      <c r="I287" s="5" t="n">
        <v>190</v>
      </c>
    </row>
    <row r="288">
      <c r="A288" s="2" t="inlineStr">
        <is>
          <t>IRN-CAR-SKI-0287</t>
        </is>
      </c>
      <c r="B288" s="2" t="inlineStr">
        <is>
          <t>IRONSIDE Floor Stand Platform Ski Erg [BEST]</t>
        </is>
      </c>
      <c r="C288" s="2" t="inlineStr">
        <is>
          <t>Cardio</t>
        </is>
      </c>
      <c r="D288" s="2" t="inlineStr">
        <is>
          <t>Ski Trainers</t>
        </is>
      </c>
      <c r="E288" s="2" t="inlineStr">
        <is>
          <t>Best</t>
        </is>
      </c>
      <c r="F288" s="3" t="n">
        <v>772.1900000000001</v>
      </c>
      <c r="G288" s="4" t="n">
        <v>-0.98</v>
      </c>
      <c r="H288" s="3" t="n">
        <v>1335.39</v>
      </c>
      <c r="I288" s="5" t="n">
        <v>90</v>
      </c>
    </row>
    <row r="289">
      <c r="A289" s="2" t="inlineStr">
        <is>
          <t>IRN-CAR-CIN-0288</t>
        </is>
      </c>
      <c r="B289" s="2" t="inlineStr">
        <is>
          <t>IRONSIDE Non-Motorized Commercial Curved Treadmill [GOOD]</t>
        </is>
      </c>
      <c r="C289" s="2" t="inlineStr">
        <is>
          <t>Cardio</t>
        </is>
      </c>
      <c r="D289" s="2" t="inlineStr">
        <is>
          <t>Cintas Curvas</t>
        </is>
      </c>
      <c r="E289" s="2" t="inlineStr">
        <is>
          <t>Good</t>
        </is>
      </c>
      <c r="F289" s="3" t="n">
        <v>1983.82</v>
      </c>
      <c r="G289" s="4" t="n">
        <v>-0.95</v>
      </c>
      <c r="H289" s="3" t="n">
        <v>2912.74</v>
      </c>
      <c r="I289" s="5" t="n">
        <v>271</v>
      </c>
    </row>
    <row r="290">
      <c r="A290" s="2" t="inlineStr">
        <is>
          <t>IRN-CAR-CIN-0289</t>
        </is>
      </c>
      <c r="B290" s="2" t="inlineStr">
        <is>
          <t>IRONSIDE Pro Runner Self-Powered Slat Treadmill [BETTER]</t>
        </is>
      </c>
      <c r="C290" s="2" t="inlineStr">
        <is>
          <t>Cardio</t>
        </is>
      </c>
      <c r="D290" s="2" t="inlineStr">
        <is>
          <t>Cintas Curvas</t>
        </is>
      </c>
      <c r="E290" s="2" t="inlineStr">
        <is>
          <t>Better</t>
        </is>
      </c>
      <c r="F290" s="3" t="n">
        <v>1508.69</v>
      </c>
      <c r="G290" s="4" t="n">
        <v>-0.79</v>
      </c>
      <c r="H290" s="3" t="n">
        <v>2488.76</v>
      </c>
      <c r="I290" s="5" t="n">
        <v>78</v>
      </c>
    </row>
    <row r="291">
      <c r="A291" s="2" t="inlineStr">
        <is>
          <t>IRN-PES-POL-0290</t>
        </is>
      </c>
      <c r="B291" s="2" t="inlineStr">
        <is>
          <t>IRONSIDE Dual Adjustable Pulley 90kg x 2 [BETTER]</t>
        </is>
      </c>
      <c r="C291" s="2" t="inlineStr">
        <is>
          <t>Peso Integrado</t>
        </is>
      </c>
      <c r="D291" s="2" t="inlineStr">
        <is>
          <t>Poleas Funcionales</t>
        </is>
      </c>
      <c r="E291" s="2" t="inlineStr">
        <is>
          <t>Better</t>
        </is>
      </c>
      <c r="F291" s="3" t="n">
        <v>1786.26</v>
      </c>
      <c r="G291" s="4" t="n">
        <v>-0.86</v>
      </c>
      <c r="H291" s="3" t="n">
        <v>2910.22</v>
      </c>
      <c r="I291" s="5" t="n">
        <v>249</v>
      </c>
    </row>
    <row r="292">
      <c r="A292" s="2" t="inlineStr">
        <is>
          <t>IRN-PES-POL-0291</t>
        </is>
      </c>
      <c r="B292" s="2" t="inlineStr">
        <is>
          <t>IRONSIDE Functional Trainer Compact [GOOD]</t>
        </is>
      </c>
      <c r="C292" s="2" t="inlineStr">
        <is>
          <t>Peso Integrado</t>
        </is>
      </c>
      <c r="D292" s="2" t="inlineStr">
        <is>
          <t>Poleas Funcionales</t>
        </is>
      </c>
      <c r="E292" s="2" t="inlineStr">
        <is>
          <t>Good</t>
        </is>
      </c>
      <c r="F292" s="3" t="n">
        <v>1274.03</v>
      </c>
      <c r="G292" s="4" t="n">
        <v>-0.6899999999999999</v>
      </c>
      <c r="H292" s="3" t="n">
        <v>1893.09</v>
      </c>
      <c r="I292" s="5" t="n">
        <v>98</v>
      </c>
    </row>
    <row r="293">
      <c r="A293" s="2" t="inlineStr">
        <is>
          <t>IRN-PES-POL-0292</t>
        </is>
      </c>
      <c r="B293" s="2" t="inlineStr">
        <is>
          <t>IRONSIDE Cable Crossover Commercial [BETTER]</t>
        </is>
      </c>
      <c r="C293" s="2" t="inlineStr">
        <is>
          <t>Peso Integrado</t>
        </is>
      </c>
      <c r="D293" s="2" t="inlineStr">
        <is>
          <t>Poleas Funcionales</t>
        </is>
      </c>
      <c r="E293" s="2" t="inlineStr">
        <is>
          <t>Better</t>
        </is>
      </c>
      <c r="F293" s="3" t="n">
        <v>1627.76</v>
      </c>
      <c r="G293" s="4" t="n">
        <v>-0.71</v>
      </c>
      <c r="H293" s="3" t="n">
        <v>2642.38</v>
      </c>
      <c r="I293" s="5" t="n">
        <v>129</v>
      </c>
    </row>
    <row r="294">
      <c r="A294" s="2" t="inlineStr">
        <is>
          <t>IRN-PES-MÁQ-0293</t>
        </is>
      </c>
      <c r="B294" s="2" t="inlineStr">
        <is>
          <t>IRONSIDE Lat Pulldown / Low Row Combo 100kg [BETTER]</t>
        </is>
      </c>
      <c r="C294" s="2" t="inlineStr">
        <is>
          <t>Peso Integrado</t>
        </is>
      </c>
      <c r="D294" s="2" t="inlineStr">
        <is>
          <t>Máquinas de Placas</t>
        </is>
      </c>
      <c r="E294" s="2" t="inlineStr">
        <is>
          <t>Better</t>
        </is>
      </c>
      <c r="F294" s="3" t="n">
        <v>1225.41</v>
      </c>
      <c r="G294" s="4" t="n">
        <v>-1.02</v>
      </c>
      <c r="H294" s="3" t="n">
        <v>1910</v>
      </c>
      <c r="I294" s="5" t="n">
        <v>221</v>
      </c>
    </row>
    <row r="295">
      <c r="A295" s="2" t="inlineStr">
        <is>
          <t>IRN-PES-MÁQ-0294</t>
        </is>
      </c>
      <c r="B295" s="2" t="inlineStr">
        <is>
          <t>IRONSIDE Leg Extension / Leg Curl Combo [GOOD]</t>
        </is>
      </c>
      <c r="C295" s="2" t="inlineStr">
        <is>
          <t>Peso Integrado</t>
        </is>
      </c>
      <c r="D295" s="2" t="inlineStr">
        <is>
          <t>Máquinas de Placas</t>
        </is>
      </c>
      <c r="E295" s="2" t="inlineStr">
        <is>
          <t>Good</t>
        </is>
      </c>
      <c r="F295" s="3" t="n">
        <v>789.3200000000001</v>
      </c>
      <c r="G295" s="4" t="n">
        <v>-0.99</v>
      </c>
      <c r="H295" s="3" t="n">
        <v>1130.85</v>
      </c>
      <c r="I295" s="5" t="n">
        <v>123</v>
      </c>
    </row>
    <row r="296">
      <c r="A296" s="2" t="inlineStr">
        <is>
          <t>IRN-PES-MÁQ-0295</t>
        </is>
      </c>
      <c r="B296" s="2" t="inlineStr">
        <is>
          <t>IRONSIDE Seated Chest Press 80kg [GOOD]</t>
        </is>
      </c>
      <c r="C296" s="2" t="inlineStr">
        <is>
          <t>Peso Integrado</t>
        </is>
      </c>
      <c r="D296" s="2" t="inlineStr">
        <is>
          <t>Máquinas de Placas</t>
        </is>
      </c>
      <c r="E296" s="2" t="inlineStr">
        <is>
          <t>Good</t>
        </is>
      </c>
      <c r="F296" s="3" t="n">
        <v>1650.66</v>
      </c>
      <c r="G296" s="4" t="n">
        <v>-1.03</v>
      </c>
      <c r="H296" s="3" t="n">
        <v>2328.01</v>
      </c>
      <c r="I296" s="5" t="n">
        <v>96</v>
      </c>
    </row>
    <row r="297">
      <c r="A297" s="2" t="inlineStr">
        <is>
          <t>IRN-PES-MÁQ-0296</t>
        </is>
      </c>
      <c r="B297" s="2" t="inlineStr">
        <is>
          <t>IRONSIDE Leg Press Hack Squat 45deg [GOOD]</t>
        </is>
      </c>
      <c r="C297" s="2" t="inlineStr">
        <is>
          <t>Peso Integrado</t>
        </is>
      </c>
      <c r="D297" s="2" t="inlineStr">
        <is>
          <t>Máquinas de Placas</t>
        </is>
      </c>
      <c r="E297" s="2" t="inlineStr">
        <is>
          <t>Good</t>
        </is>
      </c>
      <c r="F297" s="3" t="n">
        <v>650.71</v>
      </c>
      <c r="G297" s="4" t="n">
        <v>-0.6</v>
      </c>
      <c r="H297" s="3" t="n">
        <v>982.1799999999999</v>
      </c>
      <c r="I297" s="5" t="n">
        <v>271</v>
      </c>
    </row>
    <row r="298">
      <c r="A298" s="2" t="inlineStr">
        <is>
          <t>IRN-PES-SMI-0297</t>
        </is>
      </c>
      <c r="B298" s="2" t="inlineStr">
        <is>
          <t>IRONSIDE Commercial Counter-Balanced Smith Machine [BETTER]</t>
        </is>
      </c>
      <c r="C298" s="2" t="inlineStr">
        <is>
          <t>Peso Integrado</t>
        </is>
      </c>
      <c r="D298" s="2" t="inlineStr">
        <is>
          <t>Smith Machines</t>
        </is>
      </c>
      <c r="E298" s="2" t="inlineStr">
        <is>
          <t>Better</t>
        </is>
      </c>
      <c r="F298" s="3" t="n">
        <v>1572.08</v>
      </c>
      <c r="G298" s="4" t="n">
        <v>-0.68</v>
      </c>
      <c r="H298" s="3" t="n">
        <v>2525.31</v>
      </c>
      <c r="I298" s="5" t="n">
        <v>184</v>
      </c>
    </row>
    <row r="299">
      <c r="A299" s="2" t="inlineStr">
        <is>
          <t>IRN-PES-SMI-0298</t>
        </is>
      </c>
      <c r="B299" s="2" t="inlineStr">
        <is>
          <t>IRONSIDE Multi-Power 3D Smith Machine [GOOD]</t>
        </is>
      </c>
      <c r="C299" s="2" t="inlineStr">
        <is>
          <t>Peso Integrado</t>
        </is>
      </c>
      <c r="D299" s="2" t="inlineStr">
        <is>
          <t>Smith Machines</t>
        </is>
      </c>
      <c r="E299" s="2" t="inlineStr">
        <is>
          <t>Good</t>
        </is>
      </c>
      <c r="F299" s="3" t="n">
        <v>1389.87</v>
      </c>
      <c r="G299" s="4" t="n">
        <v>-0.76</v>
      </c>
      <c r="H299" s="3" t="n">
        <v>2152.81</v>
      </c>
      <c r="I299" s="5" t="n">
        <v>47</v>
      </c>
    </row>
    <row r="300">
      <c r="A300" s="2" t="inlineStr">
        <is>
          <t>IRN-ACC-BAN-0299</t>
        </is>
      </c>
      <c r="B300" s="2" t="inlineStr">
        <is>
          <t>IRONSIDE Loop Resistance Bands 5-Pack [GOOD]</t>
        </is>
      </c>
      <c r="C300" s="2" t="inlineStr">
        <is>
          <t>Accesorios &amp; Movilidad</t>
        </is>
      </c>
      <c r="D300" s="2" t="inlineStr">
        <is>
          <t>Bandas y Agarre</t>
        </is>
      </c>
      <c r="E300" s="2" t="inlineStr">
        <is>
          <t>Good</t>
        </is>
      </c>
      <c r="F300" s="3" t="n">
        <v>4.34</v>
      </c>
      <c r="G300" s="4" t="n">
        <v>-2.29</v>
      </c>
      <c r="H300" s="3" t="n">
        <v>6.27</v>
      </c>
      <c r="I300" s="5" t="n">
        <v>154</v>
      </c>
    </row>
    <row r="301">
      <c r="A301" s="2" t="inlineStr">
        <is>
          <t>IRN-ACC-BAN-0300</t>
        </is>
      </c>
      <c r="B301" s="2" t="inlineStr">
        <is>
          <t>IRONSIDE Leather Lifting Straps [BETTER]</t>
        </is>
      </c>
      <c r="C301" s="2" t="inlineStr">
        <is>
          <t>Accesorios &amp; Movilidad</t>
        </is>
      </c>
      <c r="D301" s="2" t="inlineStr">
        <is>
          <t>Bandas y Agarre</t>
        </is>
      </c>
      <c r="E301" s="2" t="inlineStr">
        <is>
          <t>Better</t>
        </is>
      </c>
      <c r="F301" s="3" t="n">
        <v>11.35</v>
      </c>
      <c r="G301" s="4" t="n">
        <v>-1.26</v>
      </c>
      <c r="H301" s="3" t="n">
        <v>17.86</v>
      </c>
      <c r="I301" s="5" t="n">
        <v>239</v>
      </c>
    </row>
    <row r="302">
      <c r="A302" s="2" t="inlineStr">
        <is>
          <t>IRN-ACC-BAN-0301</t>
        </is>
      </c>
      <c r="B302" s="2" t="inlineStr">
        <is>
          <t>IRONSIDE Gym Chalk Block 8-Pack [GOOD]</t>
        </is>
      </c>
      <c r="C302" s="2" t="inlineStr">
        <is>
          <t>Accesorios &amp; Movilidad</t>
        </is>
      </c>
      <c r="D302" s="2" t="inlineStr">
        <is>
          <t>Bandas y Agarre</t>
        </is>
      </c>
      <c r="E302" s="2" t="inlineStr">
        <is>
          <t>Good</t>
        </is>
      </c>
      <c r="F302" s="3" t="n">
        <v>24.89</v>
      </c>
      <c r="G302" s="4" t="n">
        <v>-2.51</v>
      </c>
      <c r="H302" s="3" t="n">
        <v>37.71</v>
      </c>
      <c r="I302" s="5" t="n">
        <v>19</v>
      </c>
    </row>
    <row r="303">
      <c r="A303" s="2" t="inlineStr">
        <is>
          <t>IRN-ACC-BAN-0302</t>
        </is>
      </c>
      <c r="B303" s="2" t="inlineStr">
        <is>
          <t>IRONSIDE Barbell Collars Aluminum [GOOD]</t>
        </is>
      </c>
      <c r="C303" s="2" t="inlineStr">
        <is>
          <t>Accesorios &amp; Movilidad</t>
        </is>
      </c>
      <c r="D303" s="2" t="inlineStr">
        <is>
          <t>Bandas y Agarre</t>
        </is>
      </c>
      <c r="E303" s="2" t="inlineStr">
        <is>
          <t>Good</t>
        </is>
      </c>
      <c r="F303" s="3" t="n">
        <v>19.4</v>
      </c>
      <c r="G303" s="4" t="n">
        <v>-1.91</v>
      </c>
      <c r="H303" s="3" t="n">
        <v>29.12</v>
      </c>
      <c r="I303" s="5" t="n">
        <v>77</v>
      </c>
    </row>
    <row r="304">
      <c r="A304" s="2" t="inlineStr">
        <is>
          <t>IRN-ACC-BAN-0303</t>
        </is>
      </c>
      <c r="B304" s="2" t="inlineStr">
        <is>
          <t>IRONSIDE Weightlifting Belt 10mm [BETTER]</t>
        </is>
      </c>
      <c r="C304" s="2" t="inlineStr">
        <is>
          <t>Accesorios &amp; Movilidad</t>
        </is>
      </c>
      <c r="D304" s="2" t="inlineStr">
        <is>
          <t>Bandas y Agarre</t>
        </is>
      </c>
      <c r="E304" s="2" t="inlineStr">
        <is>
          <t>Better</t>
        </is>
      </c>
      <c r="F304" s="3" t="n">
        <v>11.49</v>
      </c>
      <c r="G304" s="4" t="n">
        <v>-1.1</v>
      </c>
      <c r="H304" s="3" t="n">
        <v>19.3</v>
      </c>
      <c r="I304" s="5" t="n">
        <v>143</v>
      </c>
    </row>
    <row r="305">
      <c r="A305" s="2" t="inlineStr">
        <is>
          <t>IRN-ACC-PIS-0304</t>
        </is>
      </c>
      <c r="B305" s="2" t="inlineStr">
        <is>
          <t>IRONSIDE Rubber Floor Roll 8mm (10m2) [GOOD]</t>
        </is>
      </c>
      <c r="C305" s="2" t="inlineStr">
        <is>
          <t>Accesorios &amp; Movilidad</t>
        </is>
      </c>
      <c r="D305" s="2" t="inlineStr">
        <is>
          <t>Pisos y Protección</t>
        </is>
      </c>
      <c r="E305" s="2" t="inlineStr">
        <is>
          <t>Good</t>
        </is>
      </c>
      <c r="F305" s="3" t="n">
        <v>127.12</v>
      </c>
      <c r="G305" s="4" t="n">
        <v>-2.42</v>
      </c>
      <c r="H305" s="3" t="n">
        <v>188.98</v>
      </c>
      <c r="I305" s="5" t="n">
        <v>224</v>
      </c>
    </row>
    <row r="306">
      <c r="A306" s="2" t="inlineStr">
        <is>
          <t>IRN-ACC-PIS-0305</t>
        </is>
      </c>
      <c r="B306" s="2" t="inlineStr">
        <is>
          <t>IRONSIDE High Impact Interlocking Tile 25mm 1x1m [GOOD]</t>
        </is>
      </c>
      <c r="C306" s="2" t="inlineStr">
        <is>
          <t>Accesorios &amp; Movilidad</t>
        </is>
      </c>
      <c r="D306" s="2" t="inlineStr">
        <is>
          <t>Pisos y Protección</t>
        </is>
      </c>
      <c r="E306" s="2" t="inlineStr">
        <is>
          <t>Good</t>
        </is>
      </c>
      <c r="F306" s="3" t="n">
        <v>44.97</v>
      </c>
      <c r="G306" s="4" t="n">
        <v>-2.13</v>
      </c>
      <c r="H306" s="3" t="n">
        <v>64.45</v>
      </c>
      <c r="I306" s="5" t="n">
        <v>30</v>
      </c>
    </row>
    <row r="307">
      <c r="A307" s="2" t="inlineStr">
        <is>
          <t>IRN-ACC-PIS-0306</t>
        </is>
      </c>
      <c r="B307" s="2" t="inlineStr">
        <is>
          <t>IRONSIDE Drop Pads Noise Dampening Pair [BETTER]</t>
        </is>
      </c>
      <c r="C307" s="2" t="inlineStr">
        <is>
          <t>Accesorios &amp; Movilidad</t>
        </is>
      </c>
      <c r="D307" s="2" t="inlineStr">
        <is>
          <t>Pisos y Protección</t>
        </is>
      </c>
      <c r="E307" s="2" t="inlineStr">
        <is>
          <t>Better</t>
        </is>
      </c>
      <c r="F307" s="3" t="n">
        <v>121.19</v>
      </c>
      <c r="G307" s="4" t="n">
        <v>-1.12</v>
      </c>
      <c r="H307" s="3" t="n">
        <v>200.18</v>
      </c>
      <c r="I307" s="5" t="n">
        <v>27</v>
      </c>
    </row>
    <row r="308">
      <c r="A308" s="2" t="inlineStr">
        <is>
          <t>IRN-ACC-BAL-0307</t>
        </is>
      </c>
      <c r="B308" s="2" t="inlineStr">
        <is>
          <t>IRONSIDE Slam Ball 5kg [BEST]</t>
        </is>
      </c>
      <c r="C308" s="2" t="inlineStr">
        <is>
          <t>Accesorios &amp; Movilidad</t>
        </is>
      </c>
      <c r="D308" s="2" t="inlineStr">
        <is>
          <t>Balones &amp; Plyo</t>
        </is>
      </c>
      <c r="E308" s="2" t="inlineStr">
        <is>
          <t>Best</t>
        </is>
      </c>
      <c r="F308" s="3" t="n">
        <v>75.92</v>
      </c>
      <c r="G308" s="4" t="n">
        <v>-1.02</v>
      </c>
      <c r="H308" s="3" t="n">
        <v>135.11</v>
      </c>
      <c r="I308" s="5" t="n">
        <v>53</v>
      </c>
    </row>
    <row r="309">
      <c r="A309" s="2" t="inlineStr">
        <is>
          <t>IRN-ACC-BAL-0308</t>
        </is>
      </c>
      <c r="B309" s="2" t="inlineStr">
        <is>
          <t>IRONSIDE Slam Ball 10kg [GOOD]</t>
        </is>
      </c>
      <c r="C309" s="2" t="inlineStr">
        <is>
          <t>Accesorios &amp; Movilidad</t>
        </is>
      </c>
      <c r="D309" s="2" t="inlineStr">
        <is>
          <t>Balones &amp; Plyo</t>
        </is>
      </c>
      <c r="E309" s="2" t="inlineStr">
        <is>
          <t>Good</t>
        </is>
      </c>
      <c r="F309" s="3" t="n">
        <v>49.33</v>
      </c>
      <c r="G309" s="4" t="n">
        <v>-1.83</v>
      </c>
      <c r="H309" s="3" t="n">
        <v>70.73</v>
      </c>
      <c r="I309" s="5" t="n">
        <v>51</v>
      </c>
    </row>
    <row r="310">
      <c r="A310" s="2" t="inlineStr">
        <is>
          <t>IRN-ACC-BAL-0309</t>
        </is>
      </c>
      <c r="B310" s="2" t="inlineStr">
        <is>
          <t>IRONSIDE Slam Ball 15kg [BEST]</t>
        </is>
      </c>
      <c r="C310" s="2" t="inlineStr">
        <is>
          <t>Accesorios &amp; Movilidad</t>
        </is>
      </c>
      <c r="D310" s="2" t="inlineStr">
        <is>
          <t>Balones &amp; Plyo</t>
        </is>
      </c>
      <c r="E310" s="2" t="inlineStr">
        <is>
          <t>Best</t>
        </is>
      </c>
      <c r="F310" s="3" t="n">
        <v>66.29000000000001</v>
      </c>
      <c r="G310" s="4" t="n">
        <v>-1.05</v>
      </c>
      <c r="H310" s="3" t="n">
        <v>121.93</v>
      </c>
      <c r="I310" s="5" t="n">
        <v>77</v>
      </c>
    </row>
    <row r="311">
      <c r="A311" s="2" t="inlineStr">
        <is>
          <t>IRN-ACC-BAL-0310</t>
        </is>
      </c>
      <c r="B311" s="2" t="inlineStr">
        <is>
          <t>IRONSIDE Foam 3-in-1 Soft Plyo Box [GOOD]</t>
        </is>
      </c>
      <c r="C311" s="2" t="inlineStr">
        <is>
          <t>Accesorios &amp; Movilidad</t>
        </is>
      </c>
      <c r="D311" s="2" t="inlineStr">
        <is>
          <t>Balones &amp; Plyo</t>
        </is>
      </c>
      <c r="E311" s="2" t="inlineStr">
        <is>
          <t>Good</t>
        </is>
      </c>
      <c r="F311" s="3" t="n">
        <v>18.13</v>
      </c>
      <c r="G311" s="4" t="n">
        <v>-2.57</v>
      </c>
      <c r="H311" s="3" t="n">
        <v>26.39</v>
      </c>
      <c r="I311" s="5" t="n">
        <v>227</v>
      </c>
    </row>
    <row r="312">
      <c r="A312" s="2" t="inlineStr">
        <is>
          <t>IRN-ACC-BAL-0311</t>
        </is>
      </c>
      <c r="B312" s="2" t="inlineStr">
        <is>
          <t>IRONSIDE Wood CNC Plyo Box [GOOD]</t>
        </is>
      </c>
      <c r="C312" s="2" t="inlineStr">
        <is>
          <t>Accesorios &amp; Movilidad</t>
        </is>
      </c>
      <c r="D312" s="2" t="inlineStr">
        <is>
          <t>Balones &amp; Plyo</t>
        </is>
      </c>
      <c r="E312" s="2" t="inlineStr">
        <is>
          <t>Good</t>
        </is>
      </c>
      <c r="F312" s="3" t="n">
        <v>58.56</v>
      </c>
      <c r="G312" s="4" t="n">
        <v>-2.09</v>
      </c>
      <c r="H312" s="3" t="n">
        <v>89.66</v>
      </c>
      <c r="I312" s="5" t="n">
        <v>209</v>
      </c>
    </row>
    <row r="313">
      <c r="A313" s="2" t="inlineStr">
        <is>
          <t>IRN-ACC-BAL-0312</t>
        </is>
      </c>
      <c r="B313" s="2" t="inlineStr">
        <is>
          <t>IRONSIDE Wall Ball 9kg [BETTER]</t>
        </is>
      </c>
      <c r="C313" s="2" t="inlineStr">
        <is>
          <t>Accesorios &amp; Movilidad</t>
        </is>
      </c>
      <c r="D313" s="2" t="inlineStr">
        <is>
          <t>Balones &amp; Plyo</t>
        </is>
      </c>
      <c r="E313" s="2" t="inlineStr">
        <is>
          <t>Better</t>
        </is>
      </c>
      <c r="F313" s="3" t="n">
        <v>30.91</v>
      </c>
      <c r="G313" s="4" t="n">
        <v>-1.69</v>
      </c>
      <c r="H313" s="3" t="n">
        <v>52.12</v>
      </c>
      <c r="I313" s="5" t="n">
        <v>247</v>
      </c>
    </row>
    <row r="314">
      <c r="A314" s="2" t="inlineStr">
        <is>
          <t>IRN-FUE-BAR-0313</t>
        </is>
      </c>
      <c r="B314" s="2" t="inlineStr">
        <is>
          <t>IRONSIDE Cerakote 20kg [BEST]</t>
        </is>
      </c>
      <c r="C314" s="2" t="inlineStr">
        <is>
          <t>Fuerza Libre</t>
        </is>
      </c>
      <c r="D314" s="2" t="inlineStr">
        <is>
          <t>Barras Olímpicas</t>
        </is>
      </c>
      <c r="E314" s="2" t="inlineStr">
        <is>
          <t>Best</t>
        </is>
      </c>
      <c r="F314" s="3" t="n">
        <v>193.24</v>
      </c>
      <c r="G314" s="4" t="n">
        <v>-0.78</v>
      </c>
      <c r="H314" s="3" t="n">
        <v>376.8</v>
      </c>
      <c r="I314" s="5" t="n">
        <v>77</v>
      </c>
    </row>
    <row r="315">
      <c r="A315" s="2" t="inlineStr">
        <is>
          <t>IRN-FUE-BAR-0314</t>
        </is>
      </c>
      <c r="B315" s="2" t="inlineStr">
        <is>
          <t>IRONSIDE Hard Chrome 20kg [BETTER]</t>
        </is>
      </c>
      <c r="C315" s="2" t="inlineStr">
        <is>
          <t>Fuerza Libre</t>
        </is>
      </c>
      <c r="D315" s="2" t="inlineStr">
        <is>
          <t>Barras Olímpicas</t>
        </is>
      </c>
      <c r="E315" s="2" t="inlineStr">
        <is>
          <t>Better</t>
        </is>
      </c>
      <c r="F315" s="3" t="n">
        <v>94.11</v>
      </c>
      <c r="G315" s="4" t="n">
        <v>-1.38</v>
      </c>
      <c r="H315" s="3" t="n">
        <v>150.41</v>
      </c>
      <c r="I315" s="5" t="n">
        <v>134</v>
      </c>
    </row>
    <row r="316">
      <c r="A316" s="2" t="inlineStr">
        <is>
          <t>IRN-FUE-BAR-0315</t>
        </is>
      </c>
      <c r="B316" s="2" t="inlineStr">
        <is>
          <t>IRONSIDE Women 15kg [BETTER]</t>
        </is>
      </c>
      <c r="C316" s="2" t="inlineStr">
        <is>
          <t>Fuerza Libre</t>
        </is>
      </c>
      <c r="D316" s="2" t="inlineStr">
        <is>
          <t>Barras Olímpicas</t>
        </is>
      </c>
      <c r="E316" s="2" t="inlineStr">
        <is>
          <t>Better</t>
        </is>
      </c>
      <c r="F316" s="3" t="n">
        <v>76.7</v>
      </c>
      <c r="G316" s="4" t="n">
        <v>-1.42</v>
      </c>
      <c r="H316" s="3" t="n">
        <v>124.61</v>
      </c>
      <c r="I316" s="5" t="n">
        <v>199</v>
      </c>
    </row>
    <row r="317">
      <c r="A317" s="2" t="inlineStr">
        <is>
          <t>IRN-FUE-BAR-0316</t>
        </is>
      </c>
      <c r="B317" s="2" t="inlineStr">
        <is>
          <t>IRONSIDE Trap Bar Hex [BEST]</t>
        </is>
      </c>
      <c r="C317" s="2" t="inlineStr">
        <is>
          <t>Fuerza Libre</t>
        </is>
      </c>
      <c r="D317" s="2" t="inlineStr">
        <is>
          <t>Barras Olímpicas</t>
        </is>
      </c>
      <c r="E317" s="2" t="inlineStr">
        <is>
          <t>Best</t>
        </is>
      </c>
      <c r="F317" s="3" t="n">
        <v>186.12</v>
      </c>
      <c r="G317" s="4" t="n">
        <v>-0.76</v>
      </c>
      <c r="H317" s="3" t="n">
        <v>335.66</v>
      </c>
      <c r="I317" s="5" t="n">
        <v>71</v>
      </c>
    </row>
    <row r="318">
      <c r="A318" s="2" t="inlineStr">
        <is>
          <t>IRN-FUE-BAR-0317</t>
        </is>
      </c>
      <c r="B318" s="2" t="inlineStr">
        <is>
          <t>IRONSIDE EZ Curl Bar [GOOD]</t>
        </is>
      </c>
      <c r="C318" s="2" t="inlineStr">
        <is>
          <t>Fuerza Libre</t>
        </is>
      </c>
      <c r="D318" s="2" t="inlineStr">
        <is>
          <t>Barras Olímpicas</t>
        </is>
      </c>
      <c r="E318" s="2" t="inlineStr">
        <is>
          <t>Good</t>
        </is>
      </c>
      <c r="F318" s="3" t="n">
        <v>101.74</v>
      </c>
      <c r="G318" s="4" t="n">
        <v>-2.4</v>
      </c>
      <c r="H318" s="3" t="n">
        <v>153.42</v>
      </c>
      <c r="I318" s="5" t="n">
        <v>65</v>
      </c>
    </row>
    <row r="319">
      <c r="A319" s="2" t="inlineStr">
        <is>
          <t>IRN-FUE-BAR-0318</t>
        </is>
      </c>
      <c r="B319" s="2" t="inlineStr">
        <is>
          <t>IRONSIDE Shorty 10kg [BETTER]</t>
        </is>
      </c>
      <c r="C319" s="2" t="inlineStr">
        <is>
          <t>Fuerza Libre</t>
        </is>
      </c>
      <c r="D319" s="2" t="inlineStr">
        <is>
          <t>Barras Olímpicas</t>
        </is>
      </c>
      <c r="E319" s="2" t="inlineStr">
        <is>
          <t>Better</t>
        </is>
      </c>
      <c r="F319" s="3" t="n">
        <v>150.42</v>
      </c>
      <c r="G319" s="4" t="n">
        <v>-1.24</v>
      </c>
      <c r="H319" s="3" t="n">
        <v>247.92</v>
      </c>
      <c r="I319" s="5" t="n">
        <v>80</v>
      </c>
    </row>
    <row r="320">
      <c r="A320" s="2" t="inlineStr">
        <is>
          <t>IRN-FUE-DIS-0319</t>
        </is>
      </c>
      <c r="B320" s="2" t="inlineStr">
        <is>
          <t>IRONSIDE Hi-Temp Recycled 5kg [BETTER]</t>
        </is>
      </c>
      <c r="C320" s="2" t="inlineStr">
        <is>
          <t>Fuerza Libre</t>
        </is>
      </c>
      <c r="D320" s="2" t="inlineStr">
        <is>
          <t>Discos Bumper</t>
        </is>
      </c>
      <c r="E320" s="2" t="inlineStr">
        <is>
          <t>Better</t>
        </is>
      </c>
      <c r="F320" s="3" t="n">
        <v>99.91</v>
      </c>
      <c r="G320" s="4" t="n">
        <v>-1.6</v>
      </c>
      <c r="H320" s="3" t="n">
        <v>161.77</v>
      </c>
      <c r="I320" s="5" t="n">
        <v>105</v>
      </c>
    </row>
    <row r="321">
      <c r="A321" s="2" t="inlineStr">
        <is>
          <t>IRN-FUE-DIS-0320</t>
        </is>
      </c>
      <c r="B321" s="2" t="inlineStr">
        <is>
          <t>IRONSIDE Hi-Temp 10kg [BETTER]</t>
        </is>
      </c>
      <c r="C321" s="2" t="inlineStr">
        <is>
          <t>Fuerza Libre</t>
        </is>
      </c>
      <c r="D321" s="2" t="inlineStr">
        <is>
          <t>Discos Bumper</t>
        </is>
      </c>
      <c r="E321" s="2" t="inlineStr">
        <is>
          <t>Better</t>
        </is>
      </c>
      <c r="F321" s="3" t="n">
        <v>71.15000000000001</v>
      </c>
      <c r="G321" s="4" t="n">
        <v>-1.39</v>
      </c>
      <c r="H321" s="3" t="n">
        <v>116.07</v>
      </c>
      <c r="I321" s="5" t="n">
        <v>30</v>
      </c>
    </row>
    <row r="322">
      <c r="A322" s="2" t="inlineStr">
        <is>
          <t>IRN-FUE-DIS-0321</t>
        </is>
      </c>
      <c r="B322" s="2" t="inlineStr">
        <is>
          <t>IRONSIDE Hi-Temp 15kg [BEST]</t>
        </is>
      </c>
      <c r="C322" s="2" t="inlineStr">
        <is>
          <t>Fuerza Libre</t>
        </is>
      </c>
      <c r="D322" s="2" t="inlineStr">
        <is>
          <t>Discos Bumper</t>
        </is>
      </c>
      <c r="E322" s="2" t="inlineStr">
        <is>
          <t>Best</t>
        </is>
      </c>
      <c r="F322" s="3" t="n">
        <v>23.77</v>
      </c>
      <c r="G322" s="4" t="n">
        <v>-0.6899999999999999</v>
      </c>
      <c r="H322" s="3" t="n">
        <v>40.7</v>
      </c>
      <c r="I322" s="5" t="n">
        <v>50</v>
      </c>
    </row>
    <row r="323">
      <c r="A323" s="2" t="inlineStr">
        <is>
          <t>IRN-FUE-DIS-0322</t>
        </is>
      </c>
      <c r="B323" s="2" t="inlineStr">
        <is>
          <t>IRONSIDE Hi-Temp 20kg [GOOD]</t>
        </is>
      </c>
      <c r="C323" s="2" t="inlineStr">
        <is>
          <t>Fuerza Libre</t>
        </is>
      </c>
      <c r="D323" s="2" t="inlineStr">
        <is>
          <t>Discos Bumper</t>
        </is>
      </c>
      <c r="E323" s="2" t="inlineStr">
        <is>
          <t>Good</t>
        </is>
      </c>
      <c r="F323" s="3" t="n">
        <v>87.14</v>
      </c>
      <c r="G323" s="4" t="n">
        <v>-2.03</v>
      </c>
      <c r="H323" s="3" t="n">
        <v>128.61</v>
      </c>
      <c r="I323" s="5" t="n">
        <v>173</v>
      </c>
    </row>
    <row r="324">
      <c r="A324" s="2" t="inlineStr">
        <is>
          <t>IRN-FUE-DIS-0323</t>
        </is>
      </c>
      <c r="B324" s="2" t="inlineStr">
        <is>
          <t>IRONSIDE Hi-Temp 25kg [BEST]</t>
        </is>
      </c>
      <c r="C324" s="2" t="inlineStr">
        <is>
          <t>Fuerza Libre</t>
        </is>
      </c>
      <c r="D324" s="2" t="inlineStr">
        <is>
          <t>Discos Bumper</t>
        </is>
      </c>
      <c r="E324" s="2" t="inlineStr">
        <is>
          <t>Best</t>
        </is>
      </c>
      <c r="F324" s="3" t="n">
        <v>142.36</v>
      </c>
      <c r="G324" s="4" t="n">
        <v>-1.19</v>
      </c>
      <c r="H324" s="3" t="n">
        <v>242.57</v>
      </c>
      <c r="I324" s="5" t="n">
        <v>120</v>
      </c>
    </row>
    <row r="325">
      <c r="A325" s="2" t="inlineStr">
        <is>
          <t>IRN-FUE-DIS-0324</t>
        </is>
      </c>
      <c r="B325" s="2" t="inlineStr">
        <is>
          <t>IRONSIDE Competition Urethane 10kg [BETTER]</t>
        </is>
      </c>
      <c r="C325" s="2" t="inlineStr">
        <is>
          <t>Fuerza Libre</t>
        </is>
      </c>
      <c r="D325" s="2" t="inlineStr">
        <is>
          <t>Discos Bumper</t>
        </is>
      </c>
      <c r="E325" s="2" t="inlineStr">
        <is>
          <t>Better</t>
        </is>
      </c>
      <c r="F325" s="3" t="n">
        <v>45.04</v>
      </c>
      <c r="G325" s="4" t="n">
        <v>-1.44</v>
      </c>
      <c r="H325" s="3" t="n">
        <v>69.93000000000001</v>
      </c>
      <c r="I325" s="5" t="n">
        <v>187</v>
      </c>
    </row>
    <row r="326">
      <c r="A326" s="2" t="inlineStr">
        <is>
          <t>IRN-FUE-DIS-0325</t>
        </is>
      </c>
      <c r="B326" s="2" t="inlineStr">
        <is>
          <t>IRONSIDE Competition Urethane 20kg [BEST]</t>
        </is>
      </c>
      <c r="C326" s="2" t="inlineStr">
        <is>
          <t>Fuerza Libre</t>
        </is>
      </c>
      <c r="D326" s="2" t="inlineStr">
        <is>
          <t>Discos Bumper</t>
        </is>
      </c>
      <c r="E326" s="2" t="inlineStr">
        <is>
          <t>Best</t>
        </is>
      </c>
      <c r="F326" s="3" t="n">
        <v>38.62</v>
      </c>
      <c r="G326" s="4" t="n">
        <v>-0.88</v>
      </c>
      <c r="H326" s="3" t="n">
        <v>70.72</v>
      </c>
      <c r="I326" s="5" t="n">
        <v>173</v>
      </c>
    </row>
    <row r="327">
      <c r="A327" s="2" t="inlineStr">
        <is>
          <t>IRN-FUE-DIS-0326</t>
        </is>
      </c>
      <c r="B327" s="2" t="inlineStr">
        <is>
          <t>IRONSIDE Fractional Plate Set [BEST]</t>
        </is>
      </c>
      <c r="C327" s="2" t="inlineStr">
        <is>
          <t>Fuerza Libre</t>
        </is>
      </c>
      <c r="D327" s="2" t="inlineStr">
        <is>
          <t>Discos Bumper</t>
        </is>
      </c>
      <c r="E327" s="2" t="inlineStr">
        <is>
          <t>Best</t>
        </is>
      </c>
      <c r="F327" s="3" t="n">
        <v>51.07</v>
      </c>
      <c r="G327" s="4" t="n">
        <v>-1.05</v>
      </c>
      <c r="H327" s="3" t="n">
        <v>91.58</v>
      </c>
      <c r="I327" s="5" t="n">
        <v>159</v>
      </c>
    </row>
    <row r="328">
      <c r="A328" s="2" t="inlineStr">
        <is>
          <t>IRN-FUE-MAN-0327</t>
        </is>
      </c>
      <c r="B328" s="2" t="inlineStr">
        <is>
          <t>IRONSIDE Hex Dumbbell 2.5kg [BETTER]</t>
        </is>
      </c>
      <c r="C328" s="2" t="inlineStr">
        <is>
          <t>Fuerza Libre</t>
        </is>
      </c>
      <c r="D328" s="2" t="inlineStr">
        <is>
          <t>Mancuernas</t>
        </is>
      </c>
      <c r="E328" s="2" t="inlineStr">
        <is>
          <t>Better</t>
        </is>
      </c>
      <c r="F328" s="3" t="n">
        <v>36.86</v>
      </c>
      <c r="G328" s="4" t="n">
        <v>-1.24</v>
      </c>
      <c r="H328" s="3" t="n">
        <v>57.58</v>
      </c>
      <c r="I328" s="5" t="n">
        <v>412</v>
      </c>
    </row>
    <row r="329">
      <c r="A329" s="2" t="inlineStr">
        <is>
          <t>IRN-FUE-MAN-0328</t>
        </is>
      </c>
      <c r="B329" s="2" t="inlineStr">
        <is>
          <t>IRONSIDE Hex Dumbbell 5kg [GOOD]</t>
        </is>
      </c>
      <c r="C329" s="2" t="inlineStr">
        <is>
          <t>Fuerza Libre</t>
        </is>
      </c>
      <c r="D329" s="2" t="inlineStr">
        <is>
          <t>Mancuernas</t>
        </is>
      </c>
      <c r="E329" s="2" t="inlineStr">
        <is>
          <t>Good</t>
        </is>
      </c>
      <c r="F329" s="3" t="n">
        <v>39.68</v>
      </c>
      <c r="G329" s="4" t="n">
        <v>-2.7</v>
      </c>
      <c r="H329" s="3" t="n">
        <v>55.89</v>
      </c>
      <c r="I329" s="5" t="n">
        <v>58</v>
      </c>
    </row>
    <row r="330">
      <c r="A330" s="2" t="inlineStr">
        <is>
          <t>IRN-FUE-MAN-0329</t>
        </is>
      </c>
      <c r="B330" s="2" t="inlineStr">
        <is>
          <t>IRONSIDE Hex Dumbbell 10kg [BEST]</t>
        </is>
      </c>
      <c r="C330" s="2" t="inlineStr">
        <is>
          <t>Fuerza Libre</t>
        </is>
      </c>
      <c r="D330" s="2" t="inlineStr">
        <is>
          <t>Mancuernas</t>
        </is>
      </c>
      <c r="E330" s="2" t="inlineStr">
        <is>
          <t>Best</t>
        </is>
      </c>
      <c r="F330" s="3" t="n">
        <v>81.53</v>
      </c>
      <c r="G330" s="4" t="n">
        <v>-0.65</v>
      </c>
      <c r="H330" s="3" t="n">
        <v>158.52</v>
      </c>
      <c r="I330" s="5" t="n">
        <v>350</v>
      </c>
    </row>
    <row r="331">
      <c r="A331" s="2" t="inlineStr">
        <is>
          <t>IRN-FUE-MAN-0330</t>
        </is>
      </c>
      <c r="B331" s="2" t="inlineStr">
        <is>
          <t>IRONSIDE Hex Dumbbell 15kg [GOOD]</t>
        </is>
      </c>
      <c r="C331" s="2" t="inlineStr">
        <is>
          <t>Fuerza Libre</t>
        </is>
      </c>
      <c r="D331" s="2" t="inlineStr">
        <is>
          <t>Mancuernas</t>
        </is>
      </c>
      <c r="E331" s="2" t="inlineStr">
        <is>
          <t>Good</t>
        </is>
      </c>
      <c r="F331" s="3" t="n">
        <v>84.94</v>
      </c>
      <c r="G331" s="4" t="n">
        <v>-1.98</v>
      </c>
      <c r="H331" s="3" t="n">
        <v>126.14</v>
      </c>
      <c r="I331" s="5" t="n">
        <v>34</v>
      </c>
    </row>
    <row r="332">
      <c r="A332" s="2" t="inlineStr">
        <is>
          <t>IRN-FUE-MAN-0331</t>
        </is>
      </c>
      <c r="B332" s="2" t="inlineStr">
        <is>
          <t>IRONSIDE Hex Dumbbell 20kg [GOOD]</t>
        </is>
      </c>
      <c r="C332" s="2" t="inlineStr">
        <is>
          <t>Fuerza Libre</t>
        </is>
      </c>
      <c r="D332" s="2" t="inlineStr">
        <is>
          <t>Mancuernas</t>
        </is>
      </c>
      <c r="E332" s="2" t="inlineStr">
        <is>
          <t>Good</t>
        </is>
      </c>
      <c r="F332" s="3" t="n">
        <v>53.88</v>
      </c>
      <c r="G332" s="4" t="n">
        <v>-1.65</v>
      </c>
      <c r="H332" s="3" t="n">
        <v>76.88</v>
      </c>
      <c r="I332" s="5" t="n">
        <v>19</v>
      </c>
    </row>
    <row r="333">
      <c r="A333" s="2" t="inlineStr">
        <is>
          <t>IRN-FUE-MAN-0332</t>
        </is>
      </c>
      <c r="B333" s="2" t="inlineStr">
        <is>
          <t>IRONSIDE Hex Dumbbell 25kg [BETTER]</t>
        </is>
      </c>
      <c r="C333" s="2" t="inlineStr">
        <is>
          <t>Fuerza Libre</t>
        </is>
      </c>
      <c r="D333" s="2" t="inlineStr">
        <is>
          <t>Mancuernas</t>
        </is>
      </c>
      <c r="E333" s="2" t="inlineStr">
        <is>
          <t>Better</t>
        </is>
      </c>
      <c r="F333" s="3" t="n">
        <v>80.92</v>
      </c>
      <c r="G333" s="4" t="n">
        <v>-1.36</v>
      </c>
      <c r="H333" s="3" t="n">
        <v>130.26</v>
      </c>
      <c r="I333" s="5" t="n">
        <v>56</v>
      </c>
    </row>
    <row r="334">
      <c r="A334" s="2" t="inlineStr">
        <is>
          <t>IRN-FUE-MAN-0333</t>
        </is>
      </c>
      <c r="B334" s="2" t="inlineStr">
        <is>
          <t>IRONSIDE Hex Dumbbell 30kg [BETTER]</t>
        </is>
      </c>
      <c r="C334" s="2" t="inlineStr">
        <is>
          <t>Fuerza Libre</t>
        </is>
      </c>
      <c r="D334" s="2" t="inlineStr">
        <is>
          <t>Mancuernas</t>
        </is>
      </c>
      <c r="E334" s="2" t="inlineStr">
        <is>
          <t>Better</t>
        </is>
      </c>
      <c r="F334" s="3" t="n">
        <v>90.38</v>
      </c>
      <c r="G334" s="4" t="n">
        <v>-1.62</v>
      </c>
      <c r="H334" s="3" t="n">
        <v>147.42</v>
      </c>
      <c r="I334" s="5" t="n">
        <v>204</v>
      </c>
    </row>
    <row r="335">
      <c r="A335" s="2" t="inlineStr">
        <is>
          <t>IRN-FUE-MAN-0334</t>
        </is>
      </c>
      <c r="B335" s="2" t="inlineStr">
        <is>
          <t>IRONSIDE Round Urethane Dumbbell 20kg [BEST]</t>
        </is>
      </c>
      <c r="C335" s="2" t="inlineStr">
        <is>
          <t>Fuerza Libre</t>
        </is>
      </c>
      <c r="D335" s="2" t="inlineStr">
        <is>
          <t>Mancuernas</t>
        </is>
      </c>
      <c r="E335" s="2" t="inlineStr">
        <is>
          <t>Best</t>
        </is>
      </c>
      <c r="F335" s="3" t="n">
        <v>90.45999999999999</v>
      </c>
      <c r="G335" s="4" t="n">
        <v>-1.06</v>
      </c>
      <c r="H335" s="3" t="n">
        <v>175.82</v>
      </c>
      <c r="I335" s="5" t="n">
        <v>126</v>
      </c>
    </row>
    <row r="336">
      <c r="A336" s="2" t="inlineStr">
        <is>
          <t>IRN-FUE-KET-0335</t>
        </is>
      </c>
      <c r="B336" s="2" t="inlineStr">
        <is>
          <t>IRONSIDE Competition Russian 8kg [GOOD]</t>
        </is>
      </c>
      <c r="C336" s="2" t="inlineStr">
        <is>
          <t>Fuerza Libre</t>
        </is>
      </c>
      <c r="D336" s="2" t="inlineStr">
        <is>
          <t>Kettlebells</t>
        </is>
      </c>
      <c r="E336" s="2" t="inlineStr">
        <is>
          <t>Good</t>
        </is>
      </c>
      <c r="F336" s="3" t="n">
        <v>53.9</v>
      </c>
      <c r="G336" s="4" t="n">
        <v>-2.76</v>
      </c>
      <c r="H336" s="3" t="n">
        <v>80.28</v>
      </c>
      <c r="I336" s="5" t="n">
        <v>247</v>
      </c>
    </row>
    <row r="337">
      <c r="A337" s="2" t="inlineStr">
        <is>
          <t>IRN-FUE-KET-0336</t>
        </is>
      </c>
      <c r="B337" s="2" t="inlineStr">
        <is>
          <t>IRONSIDE Competition Russian 12kg [GOOD]</t>
        </is>
      </c>
      <c r="C337" s="2" t="inlineStr">
        <is>
          <t>Fuerza Libre</t>
        </is>
      </c>
      <c r="D337" s="2" t="inlineStr">
        <is>
          <t>Kettlebells</t>
        </is>
      </c>
      <c r="E337" s="2" t="inlineStr">
        <is>
          <t>Good</t>
        </is>
      </c>
      <c r="F337" s="3" t="n">
        <v>80.25</v>
      </c>
      <c r="G337" s="4" t="n">
        <v>-2.58</v>
      </c>
      <c r="H337" s="3" t="n">
        <v>116.63</v>
      </c>
      <c r="I337" s="5" t="n">
        <v>301</v>
      </c>
    </row>
    <row r="338">
      <c r="A338" s="2" t="inlineStr">
        <is>
          <t>IRN-FUE-KET-0337</t>
        </is>
      </c>
      <c r="B338" s="2" t="inlineStr">
        <is>
          <t>IRONSIDE Competition Russian 16kg [BETTER]</t>
        </is>
      </c>
      <c r="C338" s="2" t="inlineStr">
        <is>
          <t>Fuerza Libre</t>
        </is>
      </c>
      <c r="D338" s="2" t="inlineStr">
        <is>
          <t>Kettlebells</t>
        </is>
      </c>
      <c r="E338" s="2" t="inlineStr">
        <is>
          <t>Better</t>
        </is>
      </c>
      <c r="F338" s="3" t="n">
        <v>43.36</v>
      </c>
      <c r="G338" s="4" t="n">
        <v>-1.65</v>
      </c>
      <c r="H338" s="3" t="n">
        <v>69.13</v>
      </c>
      <c r="I338" s="5" t="n">
        <v>33</v>
      </c>
    </row>
    <row r="339">
      <c r="A339" s="2" t="inlineStr">
        <is>
          <t>IRN-FUE-KET-0338</t>
        </is>
      </c>
      <c r="B339" s="2" t="inlineStr">
        <is>
          <t>IRONSIDE Competition Russian 20kg [GOOD]</t>
        </is>
      </c>
      <c r="C339" s="2" t="inlineStr">
        <is>
          <t>Fuerza Libre</t>
        </is>
      </c>
      <c r="D339" s="2" t="inlineStr">
        <is>
          <t>Kettlebells</t>
        </is>
      </c>
      <c r="E339" s="2" t="inlineStr">
        <is>
          <t>Good</t>
        </is>
      </c>
      <c r="F339" s="3" t="n">
        <v>61.14</v>
      </c>
      <c r="G339" s="4" t="n">
        <v>-2.69</v>
      </c>
      <c r="H339" s="3" t="n">
        <v>92.38</v>
      </c>
      <c r="I339" s="5" t="n">
        <v>42</v>
      </c>
    </row>
    <row r="340">
      <c r="A340" s="2" t="inlineStr">
        <is>
          <t>IRN-FUE-KET-0339</t>
        </is>
      </c>
      <c r="B340" s="2" t="inlineStr">
        <is>
          <t>IRONSIDE Competition Russian 24kg [BEST]</t>
        </is>
      </c>
      <c r="C340" s="2" t="inlineStr">
        <is>
          <t>Fuerza Libre</t>
        </is>
      </c>
      <c r="D340" s="2" t="inlineStr">
        <is>
          <t>Kettlebells</t>
        </is>
      </c>
      <c r="E340" s="2" t="inlineStr">
        <is>
          <t>Best</t>
        </is>
      </c>
      <c r="F340" s="3" t="n">
        <v>55.89</v>
      </c>
      <c r="G340" s="4" t="n">
        <v>-0.93</v>
      </c>
      <c r="H340" s="3" t="n">
        <v>96.44</v>
      </c>
      <c r="I340" s="5" t="n">
        <v>125</v>
      </c>
    </row>
    <row r="341">
      <c r="A341" s="2" t="inlineStr">
        <is>
          <t>IRN-FUE-KET-0340</t>
        </is>
      </c>
      <c r="B341" s="2" t="inlineStr">
        <is>
          <t>IRONSIDE Competition Russian 32kg [BETTER]</t>
        </is>
      </c>
      <c r="C341" s="2" t="inlineStr">
        <is>
          <t>Fuerza Libre</t>
        </is>
      </c>
      <c r="D341" s="2" t="inlineStr">
        <is>
          <t>Kettlebells</t>
        </is>
      </c>
      <c r="E341" s="2" t="inlineStr">
        <is>
          <t>Better</t>
        </is>
      </c>
      <c r="F341" s="3" t="n">
        <v>45.5</v>
      </c>
      <c r="G341" s="4" t="n">
        <v>-1.23</v>
      </c>
      <c r="H341" s="3" t="n">
        <v>72.94</v>
      </c>
      <c r="I341" s="5" t="n">
        <v>168</v>
      </c>
    </row>
    <row r="342">
      <c r="A342" s="2" t="inlineStr">
        <is>
          <t>IRN-FUE-KET-0341</t>
        </is>
      </c>
      <c r="B342" s="2" t="inlineStr">
        <is>
          <t>IRONSIDE Cast Iron Powder Coat 16kg [BEST]</t>
        </is>
      </c>
      <c r="C342" s="2" t="inlineStr">
        <is>
          <t>Fuerza Libre</t>
        </is>
      </c>
      <c r="D342" s="2" t="inlineStr">
        <is>
          <t>Kettlebells</t>
        </is>
      </c>
      <c r="E342" s="2" t="inlineStr">
        <is>
          <t>Best</t>
        </is>
      </c>
      <c r="F342" s="3" t="n">
        <v>17.67</v>
      </c>
      <c r="G342" s="4" t="n">
        <v>-0.66</v>
      </c>
      <c r="H342" s="3" t="n">
        <v>33.48</v>
      </c>
      <c r="I342" s="5" t="n">
        <v>158</v>
      </c>
    </row>
    <row r="343">
      <c r="A343" s="2" t="inlineStr">
        <is>
          <t>IRN-RAC-POW-0342</t>
        </is>
      </c>
      <c r="B343" s="2" t="inlineStr">
        <is>
          <t>IRONSIDE Commercial Monster Rack 3x3 [BEST]</t>
        </is>
      </c>
      <c r="C343" s="2" t="inlineStr">
        <is>
          <t>Racks &amp; Estructuras</t>
        </is>
      </c>
      <c r="D343" s="2" t="inlineStr">
        <is>
          <t>Power Racks</t>
        </is>
      </c>
      <c r="E343" s="2" t="inlineStr">
        <is>
          <t>Best</t>
        </is>
      </c>
      <c r="F343" s="3" t="n">
        <v>813.46</v>
      </c>
      <c r="G343" s="4" t="n">
        <v>-1.04</v>
      </c>
      <c r="H343" s="3" t="n">
        <v>1460.31</v>
      </c>
      <c r="I343" s="5" t="n">
        <v>92</v>
      </c>
    </row>
    <row r="344">
      <c r="A344" s="2" t="inlineStr">
        <is>
          <t>IRN-RAC-POW-0343</t>
        </is>
      </c>
      <c r="B344" s="2" t="inlineStr">
        <is>
          <t>IRONSIDE Standard Power Cage 75x75 [GOOD]</t>
        </is>
      </c>
      <c r="C344" s="2" t="inlineStr">
        <is>
          <t>Racks &amp; Estructuras</t>
        </is>
      </c>
      <c r="D344" s="2" t="inlineStr">
        <is>
          <t>Power Racks</t>
        </is>
      </c>
      <c r="E344" s="2" t="inlineStr">
        <is>
          <t>Good</t>
        </is>
      </c>
      <c r="F344" s="3" t="n">
        <v>333.31</v>
      </c>
      <c r="G344" s="4" t="n">
        <v>-1.55</v>
      </c>
      <c r="H344" s="3" t="n">
        <v>481.62</v>
      </c>
      <c r="I344" s="5" t="n">
        <v>107</v>
      </c>
    </row>
    <row r="345">
      <c r="A345" s="2" t="inlineStr">
        <is>
          <t>IRN-RAC-POW-0344</t>
        </is>
      </c>
      <c r="B345" s="2" t="inlineStr">
        <is>
          <t>IRONSIDE Half Rack Commercial [GOOD]</t>
        </is>
      </c>
      <c r="C345" s="2" t="inlineStr">
        <is>
          <t>Racks &amp; Estructuras</t>
        </is>
      </c>
      <c r="D345" s="2" t="inlineStr">
        <is>
          <t>Power Racks</t>
        </is>
      </c>
      <c r="E345" s="2" t="inlineStr">
        <is>
          <t>Good</t>
        </is>
      </c>
      <c r="F345" s="3" t="n">
        <v>664.09</v>
      </c>
      <c r="G345" s="4" t="n">
        <v>-1.7</v>
      </c>
      <c r="H345" s="3" t="n">
        <v>949.21</v>
      </c>
      <c r="I345" s="5" t="n">
        <v>92</v>
      </c>
    </row>
    <row r="346">
      <c r="A346" s="2" t="inlineStr">
        <is>
          <t>IRN-RAC-POW-0345</t>
        </is>
      </c>
      <c r="B346" s="2" t="inlineStr">
        <is>
          <t>IRONSIDE Wall-Mount Folding Rack [BETTER]</t>
        </is>
      </c>
      <c r="C346" s="2" t="inlineStr">
        <is>
          <t>Racks &amp; Estructuras</t>
        </is>
      </c>
      <c r="D346" s="2" t="inlineStr">
        <is>
          <t>Power Racks</t>
        </is>
      </c>
      <c r="E346" s="2" t="inlineStr">
        <is>
          <t>Better</t>
        </is>
      </c>
      <c r="F346" s="3" t="n">
        <v>921.9299999999999</v>
      </c>
      <c r="G346" s="4" t="n">
        <v>-1.21</v>
      </c>
      <c r="H346" s="3" t="n">
        <v>1548.22</v>
      </c>
      <c r="I346" s="5" t="n">
        <v>125</v>
      </c>
    </row>
    <row r="347">
      <c r="A347" s="2" t="inlineStr">
        <is>
          <t>IRN-RAC-SQU-0346</t>
        </is>
      </c>
      <c r="B347" s="2" t="inlineStr">
        <is>
          <t>IRONSIDE Independent Squat Stand Pro [BEST]</t>
        </is>
      </c>
      <c r="C347" s="2" t="inlineStr">
        <is>
          <t>Racks &amp; Estructuras</t>
        </is>
      </c>
      <c r="D347" s="2" t="inlineStr">
        <is>
          <t>Squat Stands</t>
        </is>
      </c>
      <c r="E347" s="2" t="inlineStr">
        <is>
          <t>Best</t>
        </is>
      </c>
      <c r="F347" s="3" t="n">
        <v>412.21</v>
      </c>
      <c r="G347" s="4" t="n">
        <v>-0.91</v>
      </c>
      <c r="H347" s="3" t="n">
        <v>733.8</v>
      </c>
      <c r="I347" s="5" t="n">
        <v>182</v>
      </c>
    </row>
    <row r="348">
      <c r="A348" s="2" t="inlineStr">
        <is>
          <t>IRN-RAC-SQU-0347</t>
        </is>
      </c>
      <c r="B348" s="2" t="inlineStr">
        <is>
          <t>IRONSIDE Yoke Squat Stand Heavy [GOOD]</t>
        </is>
      </c>
      <c r="C348" s="2" t="inlineStr">
        <is>
          <t>Racks &amp; Estructuras</t>
        </is>
      </c>
      <c r="D348" s="2" t="inlineStr">
        <is>
          <t>Squat Stands</t>
        </is>
      </c>
      <c r="E348" s="2" t="inlineStr">
        <is>
          <t>Good</t>
        </is>
      </c>
      <c r="F348" s="3" t="n">
        <v>184.9</v>
      </c>
      <c r="G348" s="4" t="n">
        <v>-1.23</v>
      </c>
      <c r="H348" s="3" t="n">
        <v>279.24</v>
      </c>
      <c r="I348" s="5" t="n">
        <v>162</v>
      </c>
    </row>
    <row r="349">
      <c r="A349" s="2" t="inlineStr">
        <is>
          <t>IRN-RAC-SQU-0348</t>
        </is>
      </c>
      <c r="B349" s="2" t="inlineStr">
        <is>
          <t>IRONSIDE Compact Stand Home Gym [GOOD]</t>
        </is>
      </c>
      <c r="C349" s="2" t="inlineStr">
        <is>
          <t>Racks &amp; Estructuras</t>
        </is>
      </c>
      <c r="D349" s="2" t="inlineStr">
        <is>
          <t>Squat Stands</t>
        </is>
      </c>
      <c r="E349" s="2" t="inlineStr">
        <is>
          <t>Good</t>
        </is>
      </c>
      <c r="F349" s="3" t="n">
        <v>157.83</v>
      </c>
      <c r="G349" s="4" t="n">
        <v>-1.34</v>
      </c>
      <c r="H349" s="3" t="n">
        <v>229.6</v>
      </c>
      <c r="I349" s="5" t="n">
        <v>182</v>
      </c>
    </row>
    <row r="350">
      <c r="A350" s="2" t="inlineStr">
        <is>
          <t>IRN-RAC-BAN-0349</t>
        </is>
      </c>
      <c r="B350" s="2" t="inlineStr">
        <is>
          <t>IRONSIDE Flat Competition Bench [BETTER]</t>
        </is>
      </c>
      <c r="C350" s="2" t="inlineStr">
        <is>
          <t>Racks &amp; Estructuras</t>
        </is>
      </c>
      <c r="D350" s="2" t="inlineStr">
        <is>
          <t>Bancos</t>
        </is>
      </c>
      <c r="E350" s="2" t="inlineStr">
        <is>
          <t>Better</t>
        </is>
      </c>
      <c r="F350" s="3" t="n">
        <v>228.09</v>
      </c>
      <c r="G350" s="4" t="n">
        <v>-1.57</v>
      </c>
      <c r="H350" s="3" t="n">
        <v>386.15</v>
      </c>
      <c r="I350" s="5" t="n">
        <v>196</v>
      </c>
    </row>
    <row r="351">
      <c r="A351" s="2" t="inlineStr">
        <is>
          <t>IRN-RAC-BAN-0350</t>
        </is>
      </c>
      <c r="B351" s="2" t="inlineStr">
        <is>
          <t>IRONSIDE Adjustable Incline/Decline FID Bench [BETTER]</t>
        </is>
      </c>
      <c r="C351" s="2" t="inlineStr">
        <is>
          <t>Racks &amp; Estructuras</t>
        </is>
      </c>
      <c r="D351" s="2" t="inlineStr">
        <is>
          <t>Bancos</t>
        </is>
      </c>
      <c r="E351" s="2" t="inlineStr">
        <is>
          <t>Better</t>
        </is>
      </c>
      <c r="F351" s="3" t="n">
        <v>264.51</v>
      </c>
      <c r="G351" s="4" t="n">
        <v>-1.4</v>
      </c>
      <c r="H351" s="3" t="n">
        <v>443.63</v>
      </c>
      <c r="I351" s="5" t="n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20" customWidth="1" min="4" max="4"/>
    <col width="15" customWidth="1" min="5" max="5"/>
    <col width="22" customWidth="1" min="6" max="6"/>
    <col width="17" customWidth="1" min="7" max="7"/>
    <col width="19" customWidth="1" min="8" max="8"/>
    <col width="19" customWidth="1" min="9" max="9"/>
    <col width="14" customWidth="1" min="10" max="10"/>
    <col width="14" customWidth="1" min="11" max="11"/>
    <col width="25" customWidth="1" min="12" max="12"/>
    <col width="23" customWidth="1" min="13" max="13"/>
    <col width="21" customWidth="1" min="14" max="14"/>
    <col width="19" customWidth="1" min="15" max="15"/>
    <col width="26" customWidth="1" min="16" max="16"/>
    <col width="27" customWidth="1" min="17" max="17"/>
    <col width="21" customWidth="1" min="18" max="18"/>
    <col width="28" customWidth="1" min="19" max="19"/>
    <col width="23" customWidth="1" min="20" max="20"/>
  </cols>
  <sheetData>
    <row r="1" ht="32" customHeight="1">
      <c r="A1" s="1" t="inlineStr">
        <is>
          <t>SKU</t>
        </is>
      </c>
      <c r="B1" s="1" t="inlineStr">
        <is>
          <t>Canal</t>
        </is>
      </c>
      <c r="C1" s="1" t="inlineStr">
        <is>
          <t>Moneda</t>
        </is>
      </c>
      <c r="D1" s="1" t="inlineStr">
        <is>
          <t>Precio Lista ($)</t>
        </is>
      </c>
      <c r="E1" s="1" t="inlineStr">
        <is>
          <t>% Descuento</t>
        </is>
      </c>
      <c r="F1" s="1" t="inlineStr">
        <is>
          <t>COGS ($) [VLOOKUP]</t>
        </is>
      </c>
      <c r="G1" s="1" t="inlineStr">
        <is>
          <t>Fee Canal (%)</t>
        </is>
      </c>
      <c r="H1" s="1" t="inlineStr">
        <is>
          <t>Precio Neto ($)</t>
        </is>
      </c>
      <c r="I1" s="1" t="inlineStr">
        <is>
          <t>Margen Unit ($)</t>
        </is>
      </c>
      <c r="J1" s="1" t="inlineStr">
        <is>
          <t>% Margen</t>
        </is>
      </c>
      <c r="K1" s="1" t="inlineStr">
        <is>
          <t>Vol. Base</t>
        </is>
      </c>
      <c r="L1" s="1" t="inlineStr">
        <is>
          <t>Elasticidad [VLOOKUP]</t>
        </is>
      </c>
      <c r="M1" s="1" t="inlineStr">
        <is>
          <t>Lift Equilibrio (%)</t>
        </is>
      </c>
      <c r="N1" s="1" t="inlineStr">
        <is>
          <t>Lift Esperado (%)</t>
        </is>
      </c>
      <c r="O1" s="1" t="inlineStr">
        <is>
          <t>Vol. Proyectado</t>
        </is>
      </c>
      <c r="P1" s="1" t="inlineStr">
        <is>
          <t>Revenue Proyectado ($)</t>
        </is>
      </c>
      <c r="Q1" s="1" t="inlineStr">
        <is>
          <t>Ganancia Proyectada ($)</t>
        </is>
      </c>
      <c r="R1" s="1" t="inlineStr">
        <is>
          <t>Ganancia Base ($)</t>
        </is>
      </c>
      <c r="S1" s="1" t="inlineStr">
        <is>
          <t>Ganancia Incremental ($)</t>
        </is>
      </c>
      <c r="T1" s="1" t="inlineStr">
        <is>
          <t>Dictamen Financiero</t>
        </is>
      </c>
    </row>
    <row r="2">
      <c r="A2" s="2" t="inlineStr">
        <is>
          <t>IRN-FUE-BAR-0001</t>
        </is>
      </c>
      <c r="B2" s="2" t="inlineStr">
        <is>
          <t>D2C_SHOPIFY</t>
        </is>
      </c>
      <c r="C2" s="2" t="inlineStr">
        <is>
          <t>USD</t>
        </is>
      </c>
      <c r="D2" s="3" t="n">
        <v>73.16</v>
      </c>
      <c r="E2" s="6" t="n">
        <v>0.1</v>
      </c>
      <c r="F2" s="3">
        <f>VLOOKUP(A2, Catalogo_Productos!$A$2:$I$351, 6, FALSE)</f>
        <v/>
      </c>
      <c r="G2" s="6">
        <f>IF(B2="MELI_FULL", 0.14, IF(B2="D2C_SHOPIFY", 0.025, 0.01))</f>
        <v/>
      </c>
      <c r="H2" s="3">
        <f>D2*(1-E2)</f>
        <v/>
      </c>
      <c r="I2" s="3">
        <f>H2-F2-(D2*G2)</f>
        <v/>
      </c>
      <c r="J2" s="6">
        <f>I2/H2</f>
        <v/>
      </c>
      <c r="K2" s="5" t="n">
        <v>120</v>
      </c>
      <c r="L2" s="4">
        <f>VLOOKUP(A2, Catalogo_Productos!$A$2:$I$351, 7, FALSE)</f>
        <v/>
      </c>
      <c r="M2" s="6">
        <f>IF(E2&gt;=J2, 9.99, E2/(J2-E2))</f>
        <v/>
      </c>
      <c r="N2" s="6">
        <f>ABS(L2)*E2</f>
        <v/>
      </c>
      <c r="O2" s="5">
        <f>ROUND(K2*(1+N2), 0)</f>
        <v/>
      </c>
      <c r="P2" s="3">
        <f>H2*O2</f>
        <v/>
      </c>
      <c r="Q2" s="3">
        <f>I2*O2</f>
        <v/>
      </c>
      <c r="R2" s="3">
        <f>(D2-F2-(D2*G2))*K2</f>
        <v/>
      </c>
      <c r="S2" s="3">
        <f>Q2-R2</f>
        <v/>
      </c>
      <c r="T2" s="2">
        <f>IF(S2&gt;0, "APROBADA", "RECHAZADA")</f>
        <v/>
      </c>
    </row>
    <row r="3">
      <c r="A3" s="2" t="inlineStr">
        <is>
          <t>IRN-FUE-BAR-0002</t>
        </is>
      </c>
      <c r="B3" s="2" t="inlineStr">
        <is>
          <t>MELI_FULL</t>
        </is>
      </c>
      <c r="C3" s="2" t="inlineStr">
        <is>
          <t>USD</t>
        </is>
      </c>
      <c r="D3" s="3" t="n">
        <v>186.28</v>
      </c>
      <c r="E3" s="6" t="n">
        <v>0.15</v>
      </c>
      <c r="F3" s="3">
        <f>VLOOKUP(A3, Catalogo_Productos!$A$2:$I$351, 6, FALSE)</f>
        <v/>
      </c>
      <c r="G3" s="6">
        <f>IF(B3="MELI_FULL", 0.14, IF(B3="D2C_SHOPIFY", 0.025, 0.01))</f>
        <v/>
      </c>
      <c r="H3" s="3">
        <f>D3*(1-E3)</f>
        <v/>
      </c>
      <c r="I3" s="3">
        <f>H3-F3-(D3*G3)</f>
        <v/>
      </c>
      <c r="J3" s="6">
        <f>I3/H3</f>
        <v/>
      </c>
      <c r="K3" s="5" t="n">
        <v>80</v>
      </c>
      <c r="L3" s="4">
        <f>VLOOKUP(A3, Catalogo_Productos!$A$2:$I$351, 7, FALSE)</f>
        <v/>
      </c>
      <c r="M3" s="6">
        <f>IF(E3&gt;=J3, 9.99, E3/(J3-E3))</f>
        <v/>
      </c>
      <c r="N3" s="6">
        <f>ABS(L3)*E3</f>
        <v/>
      </c>
      <c r="O3" s="5">
        <f>ROUND(K3*(1+N3), 0)</f>
        <v/>
      </c>
      <c r="P3" s="3">
        <f>H3*O3</f>
        <v/>
      </c>
      <c r="Q3" s="3">
        <f>I3*O3</f>
        <v/>
      </c>
      <c r="R3" s="3">
        <f>(D3-F3-(D3*G3))*K3</f>
        <v/>
      </c>
      <c r="S3" s="3">
        <f>Q3-R3</f>
        <v/>
      </c>
      <c r="T3" s="2">
        <f>IF(S3&gt;0, "APROBADA", "RECHAZADA")</f>
        <v/>
      </c>
    </row>
    <row r="4">
      <c r="A4" s="2" t="inlineStr">
        <is>
          <t>IRN-FUE-BAR-0003</t>
        </is>
      </c>
      <c r="B4" s="2" t="inlineStr">
        <is>
          <t>D2C_SHOPIFY</t>
        </is>
      </c>
      <c r="C4" s="2" t="inlineStr">
        <is>
          <t>USD</t>
        </is>
      </c>
      <c r="D4" s="3" t="n">
        <v>161.68</v>
      </c>
      <c r="E4" s="6" t="n">
        <v>0.1</v>
      </c>
      <c r="F4" s="3">
        <f>VLOOKUP(A4, Catalogo_Productos!$A$2:$I$351, 6, FALSE)</f>
        <v/>
      </c>
      <c r="G4" s="6">
        <f>IF(B4="MELI_FULL", 0.14, IF(B4="D2C_SHOPIFY", 0.025, 0.01))</f>
        <v/>
      </c>
      <c r="H4" s="3">
        <f>D4*(1-E4)</f>
        <v/>
      </c>
      <c r="I4" s="3">
        <f>H4-F4-(D4*G4)</f>
        <v/>
      </c>
      <c r="J4" s="6">
        <f>I4/H4</f>
        <v/>
      </c>
      <c r="K4" s="5" t="n">
        <v>120</v>
      </c>
      <c r="L4" s="4">
        <f>VLOOKUP(A4, Catalogo_Productos!$A$2:$I$351, 7, FALSE)</f>
        <v/>
      </c>
      <c r="M4" s="6">
        <f>IF(E4&gt;=J4, 9.99, E4/(J4-E4))</f>
        <v/>
      </c>
      <c r="N4" s="6">
        <f>ABS(L4)*E4</f>
        <v/>
      </c>
      <c r="O4" s="5">
        <f>ROUND(K4*(1+N4), 0)</f>
        <v/>
      </c>
      <c r="P4" s="3">
        <f>H4*O4</f>
        <v/>
      </c>
      <c r="Q4" s="3">
        <f>I4*O4</f>
        <v/>
      </c>
      <c r="R4" s="3">
        <f>(D4-F4-(D4*G4))*K4</f>
        <v/>
      </c>
      <c r="S4" s="3">
        <f>Q4-R4</f>
        <v/>
      </c>
      <c r="T4" s="2">
        <f>IF(S4&gt;0, "APROBADA", "RECHAZADA")</f>
        <v/>
      </c>
    </row>
    <row r="5">
      <c r="A5" s="2" t="inlineStr">
        <is>
          <t>IRN-FUE-BAR-0004</t>
        </is>
      </c>
      <c r="B5" s="2" t="inlineStr">
        <is>
          <t>MELI_FULL</t>
        </is>
      </c>
      <c r="C5" s="2" t="inlineStr">
        <is>
          <t>USD</t>
        </is>
      </c>
      <c r="D5" s="3" t="n">
        <v>101.17</v>
      </c>
      <c r="E5" s="6" t="n">
        <v>0.2</v>
      </c>
      <c r="F5" s="3">
        <f>VLOOKUP(A5, Catalogo_Productos!$A$2:$I$351, 6, FALSE)</f>
        <v/>
      </c>
      <c r="G5" s="6">
        <f>IF(B5="MELI_FULL", 0.14, IF(B5="D2C_SHOPIFY", 0.025, 0.01))</f>
        <v/>
      </c>
      <c r="H5" s="3">
        <f>D5*(1-E5)</f>
        <v/>
      </c>
      <c r="I5" s="3">
        <f>H5-F5-(D5*G5)</f>
        <v/>
      </c>
      <c r="J5" s="6">
        <f>I5/H5</f>
        <v/>
      </c>
      <c r="K5" s="5" t="n">
        <v>80</v>
      </c>
      <c r="L5" s="4">
        <f>VLOOKUP(A5, Catalogo_Productos!$A$2:$I$351, 7, FALSE)</f>
        <v/>
      </c>
      <c r="M5" s="6">
        <f>IF(E5&gt;=J5, 9.99, E5/(J5-E5))</f>
        <v/>
      </c>
      <c r="N5" s="6">
        <f>ABS(L5)*E5</f>
        <v/>
      </c>
      <c r="O5" s="5">
        <f>ROUND(K5*(1+N5), 0)</f>
        <v/>
      </c>
      <c r="P5" s="3">
        <f>H5*O5</f>
        <v/>
      </c>
      <c r="Q5" s="3">
        <f>I5*O5</f>
        <v/>
      </c>
      <c r="R5" s="3">
        <f>(D5-F5-(D5*G5))*K5</f>
        <v/>
      </c>
      <c r="S5" s="3">
        <f>Q5-R5</f>
        <v/>
      </c>
      <c r="T5" s="2">
        <f>IF(S5&gt;0, "APROBADA", "RECHAZADA")</f>
        <v/>
      </c>
    </row>
    <row r="6">
      <c r="A6" s="2" t="inlineStr">
        <is>
          <t>IRN-FUE-BAR-0005</t>
        </is>
      </c>
      <c r="B6" s="2" t="inlineStr">
        <is>
          <t>D2C_SHOPIFY</t>
        </is>
      </c>
      <c r="C6" s="2" t="inlineStr">
        <is>
          <t>USD</t>
        </is>
      </c>
      <c r="D6" s="3" t="n">
        <v>73.56</v>
      </c>
      <c r="E6" s="6" t="n">
        <v>0.15</v>
      </c>
      <c r="F6" s="3">
        <f>VLOOKUP(A6, Catalogo_Productos!$A$2:$I$351, 6, FALSE)</f>
        <v/>
      </c>
      <c r="G6" s="6">
        <f>IF(B6="MELI_FULL", 0.14, IF(B6="D2C_SHOPIFY", 0.025, 0.01))</f>
        <v/>
      </c>
      <c r="H6" s="3">
        <f>D6*(1-E6)</f>
        <v/>
      </c>
      <c r="I6" s="3">
        <f>H6-F6-(D6*G6)</f>
        <v/>
      </c>
      <c r="J6" s="6">
        <f>I6/H6</f>
        <v/>
      </c>
      <c r="K6" s="5" t="n">
        <v>120</v>
      </c>
      <c r="L6" s="4">
        <f>VLOOKUP(A6, Catalogo_Productos!$A$2:$I$351, 7, FALSE)</f>
        <v/>
      </c>
      <c r="M6" s="6">
        <f>IF(E6&gt;=J6, 9.99, E6/(J6-E6))</f>
        <v/>
      </c>
      <c r="N6" s="6">
        <f>ABS(L6)*E6</f>
        <v/>
      </c>
      <c r="O6" s="5">
        <f>ROUND(K6*(1+N6), 0)</f>
        <v/>
      </c>
      <c r="P6" s="3">
        <f>H6*O6</f>
        <v/>
      </c>
      <c r="Q6" s="3">
        <f>I6*O6</f>
        <v/>
      </c>
      <c r="R6" s="3">
        <f>(D6-F6-(D6*G6))*K6</f>
        <v/>
      </c>
      <c r="S6" s="3">
        <f>Q6-R6</f>
        <v/>
      </c>
      <c r="T6" s="2">
        <f>IF(S6&gt;0, "APROBADA", "RECHAZADA")</f>
        <v/>
      </c>
    </row>
    <row r="7">
      <c r="A7" s="2" t="inlineStr">
        <is>
          <t>IRN-FUE-BAR-0006</t>
        </is>
      </c>
      <c r="B7" s="2" t="inlineStr">
        <is>
          <t>MELI_FULL</t>
        </is>
      </c>
      <c r="C7" s="2" t="inlineStr">
        <is>
          <t>USD</t>
        </is>
      </c>
      <c r="D7" s="3" t="n">
        <v>208.05</v>
      </c>
      <c r="E7" s="6" t="n">
        <v>0.1</v>
      </c>
      <c r="F7" s="3">
        <f>VLOOKUP(A7, Catalogo_Productos!$A$2:$I$351, 6, FALSE)</f>
        <v/>
      </c>
      <c r="G7" s="6">
        <f>IF(B7="MELI_FULL", 0.14, IF(B7="D2C_SHOPIFY", 0.025, 0.01))</f>
        <v/>
      </c>
      <c r="H7" s="3">
        <f>D7*(1-E7)</f>
        <v/>
      </c>
      <c r="I7" s="3">
        <f>H7-F7-(D7*G7)</f>
        <v/>
      </c>
      <c r="J7" s="6">
        <f>I7/H7</f>
        <v/>
      </c>
      <c r="K7" s="5" t="n">
        <v>80</v>
      </c>
      <c r="L7" s="4">
        <f>VLOOKUP(A7, Catalogo_Productos!$A$2:$I$351, 7, FALSE)</f>
        <v/>
      </c>
      <c r="M7" s="6">
        <f>IF(E7&gt;=J7, 9.99, E7/(J7-E7))</f>
        <v/>
      </c>
      <c r="N7" s="6">
        <f>ABS(L7)*E7</f>
        <v/>
      </c>
      <c r="O7" s="5">
        <f>ROUND(K7*(1+N7), 0)</f>
        <v/>
      </c>
      <c r="P7" s="3">
        <f>H7*O7</f>
        <v/>
      </c>
      <c r="Q7" s="3">
        <f>I7*O7</f>
        <v/>
      </c>
      <c r="R7" s="3">
        <f>(D7-F7-(D7*G7))*K7</f>
        <v/>
      </c>
      <c r="S7" s="3">
        <f>Q7-R7</f>
        <v/>
      </c>
      <c r="T7" s="2">
        <f>IF(S7&gt;0, "APROBADA", "RECHAZADA")</f>
        <v/>
      </c>
    </row>
    <row r="8">
      <c r="A8" s="2" t="inlineStr">
        <is>
          <t>IRN-FUE-DIS-0007</t>
        </is>
      </c>
      <c r="B8" s="2" t="inlineStr">
        <is>
          <t>D2C_SHOPIFY</t>
        </is>
      </c>
      <c r="C8" s="2" t="inlineStr">
        <is>
          <t>USD</t>
        </is>
      </c>
      <c r="D8" s="3" t="n">
        <v>154.6</v>
      </c>
      <c r="E8" s="6" t="n">
        <v>0.1</v>
      </c>
      <c r="F8" s="3">
        <f>VLOOKUP(A8, Catalogo_Productos!$A$2:$I$351, 6, FALSE)</f>
        <v/>
      </c>
      <c r="G8" s="6">
        <f>IF(B8="MELI_FULL", 0.14, IF(B8="D2C_SHOPIFY", 0.025, 0.01))</f>
        <v/>
      </c>
      <c r="H8" s="3">
        <f>D8*(1-E8)</f>
        <v/>
      </c>
      <c r="I8" s="3">
        <f>H8-F8-(D8*G8)</f>
        <v/>
      </c>
      <c r="J8" s="6">
        <f>I8/H8</f>
        <v/>
      </c>
      <c r="K8" s="5" t="n">
        <v>120</v>
      </c>
      <c r="L8" s="4">
        <f>VLOOKUP(A8, Catalogo_Productos!$A$2:$I$351, 7, FALSE)</f>
        <v/>
      </c>
      <c r="M8" s="6">
        <f>IF(E8&gt;=J8, 9.99, E8/(J8-E8))</f>
        <v/>
      </c>
      <c r="N8" s="6">
        <f>ABS(L8)*E8</f>
        <v/>
      </c>
      <c r="O8" s="5">
        <f>ROUND(K8*(1+N8), 0)</f>
        <v/>
      </c>
      <c r="P8" s="3">
        <f>H8*O8</f>
        <v/>
      </c>
      <c r="Q8" s="3">
        <f>I8*O8</f>
        <v/>
      </c>
      <c r="R8" s="3">
        <f>(D8-F8-(D8*G8))*K8</f>
        <v/>
      </c>
      <c r="S8" s="3">
        <f>Q8-R8</f>
        <v/>
      </c>
      <c r="T8" s="2">
        <f>IF(S8&gt;0, "APROBADA", "RECHAZADA")</f>
        <v/>
      </c>
    </row>
    <row r="9">
      <c r="A9" s="2" t="inlineStr">
        <is>
          <t>IRN-FUE-DIS-0008</t>
        </is>
      </c>
      <c r="B9" s="2" t="inlineStr">
        <is>
          <t>MELI_FULL</t>
        </is>
      </c>
      <c r="C9" s="2" t="inlineStr">
        <is>
          <t>USD</t>
        </is>
      </c>
      <c r="D9" s="3" t="n">
        <v>127.93</v>
      </c>
      <c r="E9" s="6" t="n">
        <v>0.15</v>
      </c>
      <c r="F9" s="3">
        <f>VLOOKUP(A9, Catalogo_Productos!$A$2:$I$351, 6, FALSE)</f>
        <v/>
      </c>
      <c r="G9" s="6">
        <f>IF(B9="MELI_FULL", 0.14, IF(B9="D2C_SHOPIFY", 0.025, 0.01))</f>
        <v/>
      </c>
      <c r="H9" s="3">
        <f>D9*(1-E9)</f>
        <v/>
      </c>
      <c r="I9" s="3">
        <f>H9-F9-(D9*G9)</f>
        <v/>
      </c>
      <c r="J9" s="6">
        <f>I9/H9</f>
        <v/>
      </c>
      <c r="K9" s="5" t="n">
        <v>80</v>
      </c>
      <c r="L9" s="4">
        <f>VLOOKUP(A9, Catalogo_Productos!$A$2:$I$351, 7, FALSE)</f>
        <v/>
      </c>
      <c r="M9" s="6">
        <f>IF(E9&gt;=J9, 9.99, E9/(J9-E9))</f>
        <v/>
      </c>
      <c r="N9" s="6">
        <f>ABS(L9)*E9</f>
        <v/>
      </c>
      <c r="O9" s="5">
        <f>ROUND(K9*(1+N9), 0)</f>
        <v/>
      </c>
      <c r="P9" s="3">
        <f>H9*O9</f>
        <v/>
      </c>
      <c r="Q9" s="3">
        <f>I9*O9</f>
        <v/>
      </c>
      <c r="R9" s="3">
        <f>(D9-F9-(D9*G9))*K9</f>
        <v/>
      </c>
      <c r="S9" s="3">
        <f>Q9-R9</f>
        <v/>
      </c>
      <c r="T9" s="2">
        <f>IF(S9&gt;0, "APROBADA", "RECHAZADA")</f>
        <v/>
      </c>
    </row>
    <row r="10">
      <c r="A10" s="2" t="inlineStr">
        <is>
          <t>IRN-FUE-DIS-0009</t>
        </is>
      </c>
      <c r="B10" s="2" t="inlineStr">
        <is>
          <t>D2C_SHOPIFY</t>
        </is>
      </c>
      <c r="C10" s="2" t="inlineStr">
        <is>
          <t>USD</t>
        </is>
      </c>
      <c r="D10" s="3" t="n">
        <v>167.2</v>
      </c>
      <c r="E10" s="6" t="n">
        <v>0.2</v>
      </c>
      <c r="F10" s="3">
        <f>VLOOKUP(A10, Catalogo_Productos!$A$2:$I$351, 6, FALSE)</f>
        <v/>
      </c>
      <c r="G10" s="6">
        <f>IF(B10="MELI_FULL", 0.14, IF(B10="D2C_SHOPIFY", 0.025, 0.01))</f>
        <v/>
      </c>
      <c r="H10" s="3">
        <f>D10*(1-E10)</f>
        <v/>
      </c>
      <c r="I10" s="3">
        <f>H10-F10-(D10*G10)</f>
        <v/>
      </c>
      <c r="J10" s="6">
        <f>I10/H10</f>
        <v/>
      </c>
      <c r="K10" s="5" t="n">
        <v>120</v>
      </c>
      <c r="L10" s="4">
        <f>VLOOKUP(A10, Catalogo_Productos!$A$2:$I$351, 7, FALSE)</f>
        <v/>
      </c>
      <c r="M10" s="6">
        <f>IF(E10&gt;=J10, 9.99, E10/(J10-E10))</f>
        <v/>
      </c>
      <c r="N10" s="6">
        <f>ABS(L10)*E10</f>
        <v/>
      </c>
      <c r="O10" s="5">
        <f>ROUND(K10*(1+N10), 0)</f>
        <v/>
      </c>
      <c r="P10" s="3">
        <f>H10*O10</f>
        <v/>
      </c>
      <c r="Q10" s="3">
        <f>I10*O10</f>
        <v/>
      </c>
      <c r="R10" s="3">
        <f>(D10-F10-(D10*G10))*K10</f>
        <v/>
      </c>
      <c r="S10" s="3">
        <f>Q10-R10</f>
        <v/>
      </c>
      <c r="T10" s="2">
        <f>IF(S10&gt;0, "APROBADA", "RECHAZADA")</f>
        <v/>
      </c>
    </row>
    <row r="11">
      <c r="A11" s="2" t="inlineStr">
        <is>
          <t>IRN-FUE-DIS-0010</t>
        </is>
      </c>
      <c r="B11" s="2" t="inlineStr">
        <is>
          <t>MELI_FULL</t>
        </is>
      </c>
      <c r="C11" s="2" t="inlineStr">
        <is>
          <t>USD</t>
        </is>
      </c>
      <c r="D11" s="3" t="n">
        <v>73.5</v>
      </c>
      <c r="E11" s="6" t="n">
        <v>0.1</v>
      </c>
      <c r="F11" s="3">
        <f>VLOOKUP(A11, Catalogo_Productos!$A$2:$I$351, 6, FALSE)</f>
        <v/>
      </c>
      <c r="G11" s="6">
        <f>IF(B11="MELI_FULL", 0.14, IF(B11="D2C_SHOPIFY", 0.025, 0.01))</f>
        <v/>
      </c>
      <c r="H11" s="3">
        <f>D11*(1-E11)</f>
        <v/>
      </c>
      <c r="I11" s="3">
        <f>H11-F11-(D11*G11)</f>
        <v/>
      </c>
      <c r="J11" s="6">
        <f>I11/H11</f>
        <v/>
      </c>
      <c r="K11" s="5" t="n">
        <v>80</v>
      </c>
      <c r="L11" s="4">
        <f>VLOOKUP(A11, Catalogo_Productos!$A$2:$I$351, 7, FALSE)</f>
        <v/>
      </c>
      <c r="M11" s="6">
        <f>IF(E11&gt;=J11, 9.99, E11/(J11-E11))</f>
        <v/>
      </c>
      <c r="N11" s="6">
        <f>ABS(L11)*E11</f>
        <v/>
      </c>
      <c r="O11" s="5">
        <f>ROUND(K11*(1+N11), 0)</f>
        <v/>
      </c>
      <c r="P11" s="3">
        <f>H11*O11</f>
        <v/>
      </c>
      <c r="Q11" s="3">
        <f>I11*O11</f>
        <v/>
      </c>
      <c r="R11" s="3">
        <f>(D11-F11-(D11*G11))*K11</f>
        <v/>
      </c>
      <c r="S11" s="3">
        <f>Q11-R11</f>
        <v/>
      </c>
      <c r="T11" s="2">
        <f>IF(S11&gt;0, "APROBADA", "RECHAZADA")</f>
        <v/>
      </c>
    </row>
    <row r="12">
      <c r="A12" s="2" t="inlineStr">
        <is>
          <t>IRN-FUE-DIS-0011</t>
        </is>
      </c>
      <c r="B12" s="2" t="inlineStr">
        <is>
          <t>D2C_SHOPIFY</t>
        </is>
      </c>
      <c r="C12" s="2" t="inlineStr">
        <is>
          <t>USD</t>
        </is>
      </c>
      <c r="D12" s="3" t="n">
        <v>63.03</v>
      </c>
      <c r="E12" s="6" t="n">
        <v>0.15</v>
      </c>
      <c r="F12" s="3">
        <f>VLOOKUP(A12, Catalogo_Productos!$A$2:$I$351, 6, FALSE)</f>
        <v/>
      </c>
      <c r="G12" s="6">
        <f>IF(B12="MELI_FULL", 0.14, IF(B12="D2C_SHOPIFY", 0.025, 0.01))</f>
        <v/>
      </c>
      <c r="H12" s="3">
        <f>D12*(1-E12)</f>
        <v/>
      </c>
      <c r="I12" s="3">
        <f>H12-F12-(D12*G12)</f>
        <v/>
      </c>
      <c r="J12" s="6">
        <f>I12/H12</f>
        <v/>
      </c>
      <c r="K12" s="5" t="n">
        <v>120</v>
      </c>
      <c r="L12" s="4">
        <f>VLOOKUP(A12, Catalogo_Productos!$A$2:$I$351, 7, FALSE)</f>
        <v/>
      </c>
      <c r="M12" s="6">
        <f>IF(E12&gt;=J12, 9.99, E12/(J12-E12))</f>
        <v/>
      </c>
      <c r="N12" s="6">
        <f>ABS(L12)*E12</f>
        <v/>
      </c>
      <c r="O12" s="5">
        <f>ROUND(K12*(1+N12), 0)</f>
        <v/>
      </c>
      <c r="P12" s="3">
        <f>H12*O12</f>
        <v/>
      </c>
      <c r="Q12" s="3">
        <f>I12*O12</f>
        <v/>
      </c>
      <c r="R12" s="3">
        <f>(D12-F12-(D12*G12))*K12</f>
        <v/>
      </c>
      <c r="S12" s="3">
        <f>Q12-R12</f>
        <v/>
      </c>
      <c r="T12" s="2">
        <f>IF(S12&gt;0, "APROBADA", "RECHAZADA")</f>
        <v/>
      </c>
    </row>
    <row r="13">
      <c r="A13" s="2" t="inlineStr">
        <is>
          <t>IRN-FUE-DIS-0012</t>
        </is>
      </c>
      <c r="B13" s="2" t="inlineStr">
        <is>
          <t>MELI_FULL</t>
        </is>
      </c>
      <c r="C13" s="2" t="inlineStr">
        <is>
          <t>USD</t>
        </is>
      </c>
      <c r="D13" s="3" t="n">
        <v>161.22</v>
      </c>
      <c r="E13" s="6" t="n">
        <v>0.1</v>
      </c>
      <c r="F13" s="3">
        <f>VLOOKUP(A13, Catalogo_Productos!$A$2:$I$351, 6, FALSE)</f>
        <v/>
      </c>
      <c r="G13" s="6">
        <f>IF(B13="MELI_FULL", 0.14, IF(B13="D2C_SHOPIFY", 0.025, 0.01))</f>
        <v/>
      </c>
      <c r="H13" s="3">
        <f>D13*(1-E13)</f>
        <v/>
      </c>
      <c r="I13" s="3">
        <f>H13-F13-(D13*G13)</f>
        <v/>
      </c>
      <c r="J13" s="6">
        <f>I13/H13</f>
        <v/>
      </c>
      <c r="K13" s="5" t="n">
        <v>80</v>
      </c>
      <c r="L13" s="4">
        <f>VLOOKUP(A13, Catalogo_Productos!$A$2:$I$351, 7, FALSE)</f>
        <v/>
      </c>
      <c r="M13" s="6">
        <f>IF(E13&gt;=J13, 9.99, E13/(J13-E13))</f>
        <v/>
      </c>
      <c r="N13" s="6">
        <f>ABS(L13)*E13</f>
        <v/>
      </c>
      <c r="O13" s="5">
        <f>ROUND(K13*(1+N13), 0)</f>
        <v/>
      </c>
      <c r="P13" s="3">
        <f>H13*O13</f>
        <v/>
      </c>
      <c r="Q13" s="3">
        <f>I13*O13</f>
        <v/>
      </c>
      <c r="R13" s="3">
        <f>(D13-F13-(D13*G13))*K13</f>
        <v/>
      </c>
      <c r="S13" s="3">
        <f>Q13-R13</f>
        <v/>
      </c>
      <c r="T13" s="2">
        <f>IF(S13&gt;0, "APROBADA", "RECHAZADA")</f>
        <v/>
      </c>
    </row>
    <row r="14">
      <c r="A14" s="2" t="inlineStr">
        <is>
          <t>IRN-FUE-DIS-0013</t>
        </is>
      </c>
      <c r="B14" s="2" t="inlineStr">
        <is>
          <t>D2C_SHOPIFY</t>
        </is>
      </c>
      <c r="C14" s="2" t="inlineStr">
        <is>
          <t>USD</t>
        </is>
      </c>
      <c r="D14" s="3" t="n">
        <v>53.3</v>
      </c>
      <c r="E14" s="6" t="n">
        <v>0.1</v>
      </c>
      <c r="F14" s="3">
        <f>VLOOKUP(A14, Catalogo_Productos!$A$2:$I$351, 6, FALSE)</f>
        <v/>
      </c>
      <c r="G14" s="6">
        <f>IF(B14="MELI_FULL", 0.14, IF(B14="D2C_SHOPIFY", 0.025, 0.01))</f>
        <v/>
      </c>
      <c r="H14" s="3">
        <f>D14*(1-E14)</f>
        <v/>
      </c>
      <c r="I14" s="3">
        <f>H14-F14-(D14*G14)</f>
        <v/>
      </c>
      <c r="J14" s="6">
        <f>I14/H14</f>
        <v/>
      </c>
      <c r="K14" s="5" t="n">
        <v>120</v>
      </c>
      <c r="L14" s="4">
        <f>VLOOKUP(A14, Catalogo_Productos!$A$2:$I$351, 7, FALSE)</f>
        <v/>
      </c>
      <c r="M14" s="6">
        <f>IF(E14&gt;=J14, 9.99, E14/(J14-E14))</f>
        <v/>
      </c>
      <c r="N14" s="6">
        <f>ABS(L14)*E14</f>
        <v/>
      </c>
      <c r="O14" s="5">
        <f>ROUND(K14*(1+N14), 0)</f>
        <v/>
      </c>
      <c r="P14" s="3">
        <f>H14*O14</f>
        <v/>
      </c>
      <c r="Q14" s="3">
        <f>I14*O14</f>
        <v/>
      </c>
      <c r="R14" s="3">
        <f>(D14-F14-(D14*G14))*K14</f>
        <v/>
      </c>
      <c r="S14" s="3">
        <f>Q14-R14</f>
        <v/>
      </c>
      <c r="T14" s="2">
        <f>IF(S14&gt;0, "APROBADA", "RECHAZADA")</f>
        <v/>
      </c>
    </row>
    <row r="15">
      <c r="A15" s="2" t="inlineStr">
        <is>
          <t>IRN-FUE-DIS-0014</t>
        </is>
      </c>
      <c r="B15" s="2" t="inlineStr">
        <is>
          <t>MELI_FULL</t>
        </is>
      </c>
      <c r="C15" s="2" t="inlineStr">
        <is>
          <t>USD</t>
        </is>
      </c>
      <c r="D15" s="3" t="n">
        <v>216.6</v>
      </c>
      <c r="E15" s="6" t="n">
        <v>0.15</v>
      </c>
      <c r="F15" s="3">
        <f>VLOOKUP(A15, Catalogo_Productos!$A$2:$I$351, 6, FALSE)</f>
        <v/>
      </c>
      <c r="G15" s="6">
        <f>IF(B15="MELI_FULL", 0.14, IF(B15="D2C_SHOPIFY", 0.025, 0.01))</f>
        <v/>
      </c>
      <c r="H15" s="3">
        <f>D15*(1-E15)</f>
        <v/>
      </c>
      <c r="I15" s="3">
        <f>H15-F15-(D15*G15)</f>
        <v/>
      </c>
      <c r="J15" s="6">
        <f>I15/H15</f>
        <v/>
      </c>
      <c r="K15" s="5" t="n">
        <v>80</v>
      </c>
      <c r="L15" s="4">
        <f>VLOOKUP(A15, Catalogo_Productos!$A$2:$I$351, 7, FALSE)</f>
        <v/>
      </c>
      <c r="M15" s="6">
        <f>IF(E15&gt;=J15, 9.99, E15/(J15-E15))</f>
        <v/>
      </c>
      <c r="N15" s="6">
        <f>ABS(L15)*E15</f>
        <v/>
      </c>
      <c r="O15" s="5">
        <f>ROUND(K15*(1+N15), 0)</f>
        <v/>
      </c>
      <c r="P15" s="3">
        <f>H15*O15</f>
        <v/>
      </c>
      <c r="Q15" s="3">
        <f>I15*O15</f>
        <v/>
      </c>
      <c r="R15" s="3">
        <f>(D15-F15-(D15*G15))*K15</f>
        <v/>
      </c>
      <c r="S15" s="3">
        <f>Q15-R15</f>
        <v/>
      </c>
      <c r="T15" s="2">
        <f>IF(S15&gt;0, "APROBADA", "RECHAZADA")</f>
        <v/>
      </c>
    </row>
    <row r="16">
      <c r="A16" s="2" t="inlineStr">
        <is>
          <t>IRN-FUE-MAN-0015</t>
        </is>
      </c>
      <c r="B16" s="2" t="inlineStr">
        <is>
          <t>D2C_SHOPIFY</t>
        </is>
      </c>
      <c r="C16" s="2" t="inlineStr">
        <is>
          <t>USD</t>
        </is>
      </c>
      <c r="D16" s="3" t="n">
        <v>132.25</v>
      </c>
      <c r="E16" s="6" t="n">
        <v>0.1</v>
      </c>
      <c r="F16" s="3">
        <f>VLOOKUP(A16, Catalogo_Productos!$A$2:$I$351, 6, FALSE)</f>
        <v/>
      </c>
      <c r="G16" s="6">
        <f>IF(B16="MELI_FULL", 0.14, IF(B16="D2C_SHOPIFY", 0.025, 0.01))</f>
        <v/>
      </c>
      <c r="H16" s="3">
        <f>D16*(1-E16)</f>
        <v/>
      </c>
      <c r="I16" s="3">
        <f>H16-F16-(D16*G16)</f>
        <v/>
      </c>
      <c r="J16" s="6">
        <f>I16/H16</f>
        <v/>
      </c>
      <c r="K16" s="5" t="n">
        <v>120</v>
      </c>
      <c r="L16" s="4">
        <f>VLOOKUP(A16, Catalogo_Productos!$A$2:$I$351, 7, FALSE)</f>
        <v/>
      </c>
      <c r="M16" s="6">
        <f>IF(E16&gt;=J16, 9.99, E16/(J16-E16))</f>
        <v/>
      </c>
      <c r="N16" s="6">
        <f>ABS(L16)*E16</f>
        <v/>
      </c>
      <c r="O16" s="5">
        <f>ROUND(K16*(1+N16), 0)</f>
        <v/>
      </c>
      <c r="P16" s="3">
        <f>H16*O16</f>
        <v/>
      </c>
      <c r="Q16" s="3">
        <f>I16*O16</f>
        <v/>
      </c>
      <c r="R16" s="3">
        <f>(D16-F16-(D16*G16))*K16</f>
        <v/>
      </c>
      <c r="S16" s="3">
        <f>Q16-R16</f>
        <v/>
      </c>
      <c r="T16" s="2">
        <f>IF(S16&gt;0, "APROBADA", "RECHAZADA")</f>
        <v/>
      </c>
    </row>
    <row r="17">
      <c r="A17" s="2" t="inlineStr">
        <is>
          <t>IRN-FUE-MAN-0016</t>
        </is>
      </c>
      <c r="B17" s="2" t="inlineStr">
        <is>
          <t>MELI_FULL</t>
        </is>
      </c>
      <c r="C17" s="2" t="inlineStr">
        <is>
          <t>USD</t>
        </is>
      </c>
      <c r="D17" s="3" t="n">
        <v>199.04</v>
      </c>
      <c r="E17" s="6" t="n">
        <v>0.1</v>
      </c>
      <c r="F17" s="3">
        <f>VLOOKUP(A17, Catalogo_Productos!$A$2:$I$351, 6, FALSE)</f>
        <v/>
      </c>
      <c r="G17" s="6">
        <f>IF(B17="MELI_FULL", 0.14, IF(B17="D2C_SHOPIFY", 0.025, 0.01))</f>
        <v/>
      </c>
      <c r="H17" s="3">
        <f>D17*(1-E17)</f>
        <v/>
      </c>
      <c r="I17" s="3">
        <f>H17-F17-(D17*G17)</f>
        <v/>
      </c>
      <c r="J17" s="6">
        <f>I17/H17</f>
        <v/>
      </c>
      <c r="K17" s="5" t="n">
        <v>80</v>
      </c>
      <c r="L17" s="4">
        <f>VLOOKUP(A17, Catalogo_Productos!$A$2:$I$351, 7, FALSE)</f>
        <v/>
      </c>
      <c r="M17" s="6">
        <f>IF(E17&gt;=J17, 9.99, E17/(J17-E17))</f>
        <v/>
      </c>
      <c r="N17" s="6">
        <f>ABS(L17)*E17</f>
        <v/>
      </c>
      <c r="O17" s="5">
        <f>ROUND(K17*(1+N17), 0)</f>
        <v/>
      </c>
      <c r="P17" s="3">
        <f>H17*O17</f>
        <v/>
      </c>
      <c r="Q17" s="3">
        <f>I17*O17</f>
        <v/>
      </c>
      <c r="R17" s="3">
        <f>(D17-F17-(D17*G17))*K17</f>
        <v/>
      </c>
      <c r="S17" s="3">
        <f>Q17-R17</f>
        <v/>
      </c>
      <c r="T17" s="2">
        <f>IF(S17&gt;0, "APROBADA", "RECHAZADA")</f>
        <v/>
      </c>
    </row>
    <row r="18">
      <c r="A18" s="2" t="inlineStr">
        <is>
          <t>IRN-FUE-MAN-0017</t>
        </is>
      </c>
      <c r="B18" s="2" t="inlineStr">
        <is>
          <t>D2C_SHOPIFY</t>
        </is>
      </c>
      <c r="C18" s="2" t="inlineStr">
        <is>
          <t>USD</t>
        </is>
      </c>
      <c r="D18" s="3" t="n">
        <v>64.18000000000001</v>
      </c>
      <c r="E18" s="6" t="n">
        <v>0.15</v>
      </c>
      <c r="F18" s="3">
        <f>VLOOKUP(A18, Catalogo_Productos!$A$2:$I$351, 6, FALSE)</f>
        <v/>
      </c>
      <c r="G18" s="6">
        <f>IF(B18="MELI_FULL", 0.14, IF(B18="D2C_SHOPIFY", 0.025, 0.01))</f>
        <v/>
      </c>
      <c r="H18" s="3">
        <f>D18*(1-E18)</f>
        <v/>
      </c>
      <c r="I18" s="3">
        <f>H18-F18-(D18*G18)</f>
        <v/>
      </c>
      <c r="J18" s="6">
        <f>I18/H18</f>
        <v/>
      </c>
      <c r="K18" s="5" t="n">
        <v>120</v>
      </c>
      <c r="L18" s="4">
        <f>VLOOKUP(A18, Catalogo_Productos!$A$2:$I$351, 7, FALSE)</f>
        <v/>
      </c>
      <c r="M18" s="6">
        <f>IF(E18&gt;=J18, 9.99, E18/(J18-E18))</f>
        <v/>
      </c>
      <c r="N18" s="6">
        <f>ABS(L18)*E18</f>
        <v/>
      </c>
      <c r="O18" s="5">
        <f>ROUND(K18*(1+N18), 0)</f>
        <v/>
      </c>
      <c r="P18" s="3">
        <f>H18*O18</f>
        <v/>
      </c>
      <c r="Q18" s="3">
        <f>I18*O18</f>
        <v/>
      </c>
      <c r="R18" s="3">
        <f>(D18-F18-(D18*G18))*K18</f>
        <v/>
      </c>
      <c r="S18" s="3">
        <f>Q18-R18</f>
        <v/>
      </c>
      <c r="T18" s="2">
        <f>IF(S18&gt;0, "APROBADA", "RECHAZADA")</f>
        <v/>
      </c>
    </row>
    <row r="19">
      <c r="A19" s="2" t="inlineStr">
        <is>
          <t>IRN-FUE-MAN-0018</t>
        </is>
      </c>
      <c r="B19" s="2" t="inlineStr">
        <is>
          <t>MELI_FULL</t>
        </is>
      </c>
      <c r="C19" s="2" t="inlineStr">
        <is>
          <t>USD</t>
        </is>
      </c>
      <c r="D19" s="3" t="n">
        <v>77.15000000000001</v>
      </c>
      <c r="E19" s="6" t="n">
        <v>0.1</v>
      </c>
      <c r="F19" s="3">
        <f>VLOOKUP(A19, Catalogo_Productos!$A$2:$I$351, 6, FALSE)</f>
        <v/>
      </c>
      <c r="G19" s="6">
        <f>IF(B19="MELI_FULL", 0.14, IF(B19="D2C_SHOPIFY", 0.025, 0.01))</f>
        <v/>
      </c>
      <c r="H19" s="3">
        <f>D19*(1-E19)</f>
        <v/>
      </c>
      <c r="I19" s="3">
        <f>H19-F19-(D19*G19)</f>
        <v/>
      </c>
      <c r="J19" s="6">
        <f>I19/H19</f>
        <v/>
      </c>
      <c r="K19" s="5" t="n">
        <v>80</v>
      </c>
      <c r="L19" s="4">
        <f>VLOOKUP(A19, Catalogo_Productos!$A$2:$I$351, 7, FALSE)</f>
        <v/>
      </c>
      <c r="M19" s="6">
        <f>IF(E19&gt;=J19, 9.99, E19/(J19-E19))</f>
        <v/>
      </c>
      <c r="N19" s="6">
        <f>ABS(L19)*E19</f>
        <v/>
      </c>
      <c r="O19" s="5">
        <f>ROUND(K19*(1+N19), 0)</f>
        <v/>
      </c>
      <c r="P19" s="3">
        <f>H19*O19</f>
        <v/>
      </c>
      <c r="Q19" s="3">
        <f>I19*O19</f>
        <v/>
      </c>
      <c r="R19" s="3">
        <f>(D19-F19-(D19*G19))*K19</f>
        <v/>
      </c>
      <c r="S19" s="3">
        <f>Q19-R19</f>
        <v/>
      </c>
      <c r="T19" s="2">
        <f>IF(S19&gt;0, "APROBADA", "RECHAZADA")</f>
        <v/>
      </c>
    </row>
    <row r="20">
      <c r="A20" s="2" t="inlineStr">
        <is>
          <t>IRN-FUE-MAN-0019</t>
        </is>
      </c>
      <c r="B20" s="2" t="inlineStr">
        <is>
          <t>D2C_SHOPIFY</t>
        </is>
      </c>
      <c r="C20" s="2" t="inlineStr">
        <is>
          <t>USD</t>
        </is>
      </c>
      <c r="D20" s="3" t="n">
        <v>42.54</v>
      </c>
      <c r="E20" s="6" t="n">
        <v>0.2</v>
      </c>
      <c r="F20" s="3">
        <f>VLOOKUP(A20, Catalogo_Productos!$A$2:$I$351, 6, FALSE)</f>
        <v/>
      </c>
      <c r="G20" s="6">
        <f>IF(B20="MELI_FULL", 0.14, IF(B20="D2C_SHOPIFY", 0.025, 0.01))</f>
        <v/>
      </c>
      <c r="H20" s="3">
        <f>D20*(1-E20)</f>
        <v/>
      </c>
      <c r="I20" s="3">
        <f>H20-F20-(D20*G20)</f>
        <v/>
      </c>
      <c r="J20" s="6">
        <f>I20/H20</f>
        <v/>
      </c>
      <c r="K20" s="5" t="n">
        <v>120</v>
      </c>
      <c r="L20" s="4">
        <f>VLOOKUP(A20, Catalogo_Productos!$A$2:$I$351, 7, FALSE)</f>
        <v/>
      </c>
      <c r="M20" s="6">
        <f>IF(E20&gt;=J20, 9.99, E20/(J20-E20))</f>
        <v/>
      </c>
      <c r="N20" s="6">
        <f>ABS(L20)*E20</f>
        <v/>
      </c>
      <c r="O20" s="5">
        <f>ROUND(K20*(1+N20), 0)</f>
        <v/>
      </c>
      <c r="P20" s="3">
        <f>H20*O20</f>
        <v/>
      </c>
      <c r="Q20" s="3">
        <f>I20*O20</f>
        <v/>
      </c>
      <c r="R20" s="3">
        <f>(D20-F20-(D20*G20))*K20</f>
        <v/>
      </c>
      <c r="S20" s="3">
        <f>Q20-R20</f>
        <v/>
      </c>
      <c r="T20" s="2">
        <f>IF(S20&gt;0, "APROBADA", "RECHAZADA")</f>
        <v/>
      </c>
    </row>
    <row r="21">
      <c r="A21" s="2" t="inlineStr">
        <is>
          <t>IRN-FUE-MAN-0020</t>
        </is>
      </c>
      <c r="B21" s="2" t="inlineStr">
        <is>
          <t>MELI_FULL</t>
        </is>
      </c>
      <c r="C21" s="2" t="inlineStr">
        <is>
          <t>USD</t>
        </is>
      </c>
      <c r="D21" s="3" t="n">
        <v>88.63</v>
      </c>
      <c r="E21" s="6" t="n">
        <v>0.15</v>
      </c>
      <c r="F21" s="3">
        <f>VLOOKUP(A21, Catalogo_Productos!$A$2:$I$351, 6, FALSE)</f>
        <v/>
      </c>
      <c r="G21" s="6">
        <f>IF(B21="MELI_FULL", 0.14, IF(B21="D2C_SHOPIFY", 0.025, 0.01))</f>
        <v/>
      </c>
      <c r="H21" s="3">
        <f>D21*(1-E21)</f>
        <v/>
      </c>
      <c r="I21" s="3">
        <f>H21-F21-(D21*G21)</f>
        <v/>
      </c>
      <c r="J21" s="6">
        <f>I21/H21</f>
        <v/>
      </c>
      <c r="K21" s="5" t="n">
        <v>80</v>
      </c>
      <c r="L21" s="4">
        <f>VLOOKUP(A21, Catalogo_Productos!$A$2:$I$351, 7, FALSE)</f>
        <v/>
      </c>
      <c r="M21" s="6">
        <f>IF(E21&gt;=J21, 9.99, E21/(J21-E21))</f>
        <v/>
      </c>
      <c r="N21" s="6">
        <f>ABS(L21)*E21</f>
        <v/>
      </c>
      <c r="O21" s="5">
        <f>ROUND(K21*(1+N21), 0)</f>
        <v/>
      </c>
      <c r="P21" s="3">
        <f>H21*O21</f>
        <v/>
      </c>
      <c r="Q21" s="3">
        <f>I21*O21</f>
        <v/>
      </c>
      <c r="R21" s="3">
        <f>(D21-F21-(D21*G21))*K21</f>
        <v/>
      </c>
      <c r="S21" s="3">
        <f>Q21-R21</f>
        <v/>
      </c>
      <c r="T21" s="2">
        <f>IF(S21&gt;0, "APROBADA", "RECHAZADA")</f>
        <v/>
      </c>
    </row>
    <row r="22">
      <c r="A22" s="2" t="inlineStr">
        <is>
          <t>IRN-FUE-MAN-0021</t>
        </is>
      </c>
      <c r="B22" s="2" t="inlineStr">
        <is>
          <t>D2C_SHOPIFY</t>
        </is>
      </c>
      <c r="C22" s="2" t="inlineStr">
        <is>
          <t>USD</t>
        </is>
      </c>
      <c r="D22" s="3" t="n">
        <v>84.53</v>
      </c>
      <c r="E22" s="6" t="n">
        <v>0.1</v>
      </c>
      <c r="F22" s="3">
        <f>VLOOKUP(A22, Catalogo_Productos!$A$2:$I$351, 6, FALSE)</f>
        <v/>
      </c>
      <c r="G22" s="6">
        <f>IF(B22="MELI_FULL", 0.14, IF(B22="D2C_SHOPIFY", 0.025, 0.01))</f>
        <v/>
      </c>
      <c r="H22" s="3">
        <f>D22*(1-E22)</f>
        <v/>
      </c>
      <c r="I22" s="3">
        <f>H22-F22-(D22*G22)</f>
        <v/>
      </c>
      <c r="J22" s="6">
        <f>I22/H22</f>
        <v/>
      </c>
      <c r="K22" s="5" t="n">
        <v>120</v>
      </c>
      <c r="L22" s="4">
        <f>VLOOKUP(A22, Catalogo_Productos!$A$2:$I$351, 7, FALSE)</f>
        <v/>
      </c>
      <c r="M22" s="6">
        <f>IF(E22&gt;=J22, 9.99, E22/(J22-E22))</f>
        <v/>
      </c>
      <c r="N22" s="6">
        <f>ABS(L22)*E22</f>
        <v/>
      </c>
      <c r="O22" s="5">
        <f>ROUND(K22*(1+N22), 0)</f>
        <v/>
      </c>
      <c r="P22" s="3">
        <f>H22*O22</f>
        <v/>
      </c>
      <c r="Q22" s="3">
        <f>I22*O22</f>
        <v/>
      </c>
      <c r="R22" s="3">
        <f>(D22-F22-(D22*G22))*K22</f>
        <v/>
      </c>
      <c r="S22" s="3">
        <f>Q22-R22</f>
        <v/>
      </c>
      <c r="T22" s="2">
        <f>IF(S22&gt;0, "APROBADA", "RECHAZADA")</f>
        <v/>
      </c>
    </row>
    <row r="23">
      <c r="A23" s="2" t="inlineStr">
        <is>
          <t>IRN-FUE-MAN-0022</t>
        </is>
      </c>
      <c r="B23" s="2" t="inlineStr">
        <is>
          <t>MELI_FULL</t>
        </is>
      </c>
      <c r="C23" s="2" t="inlineStr">
        <is>
          <t>USD</t>
        </is>
      </c>
      <c r="D23" s="3" t="n">
        <v>91.19</v>
      </c>
      <c r="E23" s="6" t="n">
        <v>0.1</v>
      </c>
      <c r="F23" s="3">
        <f>VLOOKUP(A23, Catalogo_Productos!$A$2:$I$351, 6, FALSE)</f>
        <v/>
      </c>
      <c r="G23" s="6">
        <f>IF(B23="MELI_FULL", 0.14, IF(B23="D2C_SHOPIFY", 0.025, 0.01))</f>
        <v/>
      </c>
      <c r="H23" s="3">
        <f>D23*(1-E23)</f>
        <v/>
      </c>
      <c r="I23" s="3">
        <f>H23-F23-(D23*G23)</f>
        <v/>
      </c>
      <c r="J23" s="6">
        <f>I23/H23</f>
        <v/>
      </c>
      <c r="K23" s="5" t="n">
        <v>80</v>
      </c>
      <c r="L23" s="4">
        <f>VLOOKUP(A23, Catalogo_Productos!$A$2:$I$351, 7, FALSE)</f>
        <v/>
      </c>
      <c r="M23" s="6">
        <f>IF(E23&gt;=J23, 9.99, E23/(J23-E23))</f>
        <v/>
      </c>
      <c r="N23" s="6">
        <f>ABS(L23)*E23</f>
        <v/>
      </c>
      <c r="O23" s="5">
        <f>ROUND(K23*(1+N23), 0)</f>
        <v/>
      </c>
      <c r="P23" s="3">
        <f>H23*O23</f>
        <v/>
      </c>
      <c r="Q23" s="3">
        <f>I23*O23</f>
        <v/>
      </c>
      <c r="R23" s="3">
        <f>(D23-F23-(D23*G23))*K23</f>
        <v/>
      </c>
      <c r="S23" s="3">
        <f>Q23-R23</f>
        <v/>
      </c>
      <c r="T23" s="2">
        <f>IF(S23&gt;0, "APROBADA", "RECHAZADA")</f>
        <v/>
      </c>
    </row>
    <row r="24">
      <c r="A24" s="2" t="inlineStr">
        <is>
          <t>IRN-FUE-KET-0023</t>
        </is>
      </c>
      <c r="B24" s="2" t="inlineStr">
        <is>
          <t>D2C_SHOPIFY</t>
        </is>
      </c>
      <c r="C24" s="2" t="inlineStr">
        <is>
          <t>USD</t>
        </is>
      </c>
      <c r="D24" s="3" t="n">
        <v>70.68000000000001</v>
      </c>
      <c r="E24" s="6" t="n">
        <v>0.15</v>
      </c>
      <c r="F24" s="3">
        <f>VLOOKUP(A24, Catalogo_Productos!$A$2:$I$351, 6, FALSE)</f>
        <v/>
      </c>
      <c r="G24" s="6">
        <f>IF(B24="MELI_FULL", 0.14, IF(B24="D2C_SHOPIFY", 0.025, 0.01))</f>
        <v/>
      </c>
      <c r="H24" s="3">
        <f>D24*(1-E24)</f>
        <v/>
      </c>
      <c r="I24" s="3">
        <f>H24-F24-(D24*G24)</f>
        <v/>
      </c>
      <c r="J24" s="6">
        <f>I24/H24</f>
        <v/>
      </c>
      <c r="K24" s="5" t="n">
        <v>120</v>
      </c>
      <c r="L24" s="4">
        <f>VLOOKUP(A24, Catalogo_Productos!$A$2:$I$351, 7, FALSE)</f>
        <v/>
      </c>
      <c r="M24" s="6">
        <f>IF(E24&gt;=J24, 9.99, E24/(J24-E24))</f>
        <v/>
      </c>
      <c r="N24" s="6">
        <f>ABS(L24)*E24</f>
        <v/>
      </c>
      <c r="O24" s="5">
        <f>ROUND(K24*(1+N24), 0)</f>
        <v/>
      </c>
      <c r="P24" s="3">
        <f>H24*O24</f>
        <v/>
      </c>
      <c r="Q24" s="3">
        <f>I24*O24</f>
        <v/>
      </c>
      <c r="R24" s="3">
        <f>(D24-F24-(D24*G24))*K24</f>
        <v/>
      </c>
      <c r="S24" s="3">
        <f>Q24-R24</f>
        <v/>
      </c>
      <c r="T24" s="2">
        <f>IF(S24&gt;0, "APROBADA", "RECHAZADA")</f>
        <v/>
      </c>
    </row>
    <row r="25">
      <c r="A25" s="2" t="inlineStr">
        <is>
          <t>IRN-FUE-KET-0024</t>
        </is>
      </c>
      <c r="B25" s="2" t="inlineStr">
        <is>
          <t>MELI_FULL</t>
        </is>
      </c>
      <c r="C25" s="2" t="inlineStr">
        <is>
          <t>USD</t>
        </is>
      </c>
      <c r="D25" s="3" t="n">
        <v>85.31</v>
      </c>
      <c r="E25" s="6" t="n">
        <v>0.2</v>
      </c>
      <c r="F25" s="3">
        <f>VLOOKUP(A25, Catalogo_Productos!$A$2:$I$351, 6, FALSE)</f>
        <v/>
      </c>
      <c r="G25" s="6">
        <f>IF(B25="MELI_FULL", 0.14, IF(B25="D2C_SHOPIFY", 0.025, 0.01))</f>
        <v/>
      </c>
      <c r="H25" s="3">
        <f>D25*(1-E25)</f>
        <v/>
      </c>
      <c r="I25" s="3">
        <f>H25-F25-(D25*G25)</f>
        <v/>
      </c>
      <c r="J25" s="6">
        <f>I25/H25</f>
        <v/>
      </c>
      <c r="K25" s="5" t="n">
        <v>80</v>
      </c>
      <c r="L25" s="4">
        <f>VLOOKUP(A25, Catalogo_Productos!$A$2:$I$351, 7, FALSE)</f>
        <v/>
      </c>
      <c r="M25" s="6">
        <f>IF(E25&gt;=J25, 9.99, E25/(J25-E25))</f>
        <v/>
      </c>
      <c r="N25" s="6">
        <f>ABS(L25)*E25</f>
        <v/>
      </c>
      <c r="O25" s="5">
        <f>ROUND(K25*(1+N25), 0)</f>
        <v/>
      </c>
      <c r="P25" s="3">
        <f>H25*O25</f>
        <v/>
      </c>
      <c r="Q25" s="3">
        <f>I25*O25</f>
        <v/>
      </c>
      <c r="R25" s="3">
        <f>(D25-F25-(D25*G25))*K25</f>
        <v/>
      </c>
      <c r="S25" s="3">
        <f>Q25-R25</f>
        <v/>
      </c>
      <c r="T25" s="2">
        <f>IF(S25&gt;0, "APROBADA", "RECHAZADA")</f>
        <v/>
      </c>
    </row>
    <row r="26">
      <c r="A26" s="2" t="inlineStr">
        <is>
          <t>IRN-FUE-KET-0025</t>
        </is>
      </c>
      <c r="B26" s="2" t="inlineStr">
        <is>
          <t>D2C_SHOPIFY</t>
        </is>
      </c>
      <c r="C26" s="2" t="inlineStr">
        <is>
          <t>USD</t>
        </is>
      </c>
      <c r="D26" s="3" t="n">
        <v>23.18</v>
      </c>
      <c r="E26" s="6" t="n">
        <v>0.1</v>
      </c>
      <c r="F26" s="3">
        <f>VLOOKUP(A26, Catalogo_Productos!$A$2:$I$351, 6, FALSE)</f>
        <v/>
      </c>
      <c r="G26" s="6">
        <f>IF(B26="MELI_FULL", 0.14, IF(B26="D2C_SHOPIFY", 0.025, 0.01))</f>
        <v/>
      </c>
      <c r="H26" s="3">
        <f>D26*(1-E26)</f>
        <v/>
      </c>
      <c r="I26" s="3">
        <f>H26-F26-(D26*G26)</f>
        <v/>
      </c>
      <c r="J26" s="6">
        <f>I26/H26</f>
        <v/>
      </c>
      <c r="K26" s="5" t="n">
        <v>120</v>
      </c>
      <c r="L26" s="4">
        <f>VLOOKUP(A26, Catalogo_Productos!$A$2:$I$351, 7, FALSE)</f>
        <v/>
      </c>
      <c r="M26" s="6">
        <f>IF(E26&gt;=J26, 9.99, E26/(J26-E26))</f>
        <v/>
      </c>
      <c r="N26" s="6">
        <f>ABS(L26)*E26</f>
        <v/>
      </c>
      <c r="O26" s="5">
        <f>ROUND(K26*(1+N26), 0)</f>
        <v/>
      </c>
      <c r="P26" s="3">
        <f>H26*O26</f>
        <v/>
      </c>
      <c r="Q26" s="3">
        <f>I26*O26</f>
        <v/>
      </c>
      <c r="R26" s="3">
        <f>(D26-F26-(D26*G26))*K26</f>
        <v/>
      </c>
      <c r="S26" s="3">
        <f>Q26-R26</f>
        <v/>
      </c>
      <c r="T26" s="2">
        <f>IF(S26&gt;0, "APROBADA", "RECHAZADA")</f>
        <v/>
      </c>
    </row>
    <row r="27">
      <c r="A27" s="2" t="inlineStr">
        <is>
          <t>IRN-FUE-KET-0026</t>
        </is>
      </c>
      <c r="B27" s="2" t="inlineStr">
        <is>
          <t>MELI_FULL</t>
        </is>
      </c>
      <c r="C27" s="2" t="inlineStr">
        <is>
          <t>USD</t>
        </is>
      </c>
      <c r="D27" s="3" t="n">
        <v>41.43</v>
      </c>
      <c r="E27" s="6" t="n">
        <v>0.15</v>
      </c>
      <c r="F27" s="3">
        <f>VLOOKUP(A27, Catalogo_Productos!$A$2:$I$351, 6, FALSE)</f>
        <v/>
      </c>
      <c r="G27" s="6">
        <f>IF(B27="MELI_FULL", 0.14, IF(B27="D2C_SHOPIFY", 0.025, 0.01))</f>
        <v/>
      </c>
      <c r="H27" s="3">
        <f>D27*(1-E27)</f>
        <v/>
      </c>
      <c r="I27" s="3">
        <f>H27-F27-(D27*G27)</f>
        <v/>
      </c>
      <c r="J27" s="6">
        <f>I27/H27</f>
        <v/>
      </c>
      <c r="K27" s="5" t="n">
        <v>80</v>
      </c>
      <c r="L27" s="4">
        <f>VLOOKUP(A27, Catalogo_Productos!$A$2:$I$351, 7, FALSE)</f>
        <v/>
      </c>
      <c r="M27" s="6">
        <f>IF(E27&gt;=J27, 9.99, E27/(J27-E27))</f>
        <v/>
      </c>
      <c r="N27" s="6">
        <f>ABS(L27)*E27</f>
        <v/>
      </c>
      <c r="O27" s="5">
        <f>ROUND(K27*(1+N27), 0)</f>
        <v/>
      </c>
      <c r="P27" s="3">
        <f>H27*O27</f>
        <v/>
      </c>
      <c r="Q27" s="3">
        <f>I27*O27</f>
        <v/>
      </c>
      <c r="R27" s="3">
        <f>(D27-F27-(D27*G27))*K27</f>
        <v/>
      </c>
      <c r="S27" s="3">
        <f>Q27-R27</f>
        <v/>
      </c>
      <c r="T27" s="2">
        <f>IF(S27&gt;0, "APROBADA", "RECHAZADA")</f>
        <v/>
      </c>
    </row>
    <row r="28">
      <c r="A28" s="2" t="inlineStr">
        <is>
          <t>IRN-FUE-KET-0027</t>
        </is>
      </c>
      <c r="B28" s="2" t="inlineStr">
        <is>
          <t>D2C_SHOPIFY</t>
        </is>
      </c>
      <c r="C28" s="2" t="inlineStr">
        <is>
          <t>USD</t>
        </is>
      </c>
      <c r="D28" s="3" t="n">
        <v>117.24</v>
      </c>
      <c r="E28" s="6" t="n">
        <v>0.1</v>
      </c>
      <c r="F28" s="3">
        <f>VLOOKUP(A28, Catalogo_Productos!$A$2:$I$351, 6, FALSE)</f>
        <v/>
      </c>
      <c r="G28" s="6">
        <f>IF(B28="MELI_FULL", 0.14, IF(B28="D2C_SHOPIFY", 0.025, 0.01))</f>
        <v/>
      </c>
      <c r="H28" s="3">
        <f>D28*(1-E28)</f>
        <v/>
      </c>
      <c r="I28" s="3">
        <f>H28-F28-(D28*G28)</f>
        <v/>
      </c>
      <c r="J28" s="6">
        <f>I28/H28</f>
        <v/>
      </c>
      <c r="K28" s="5" t="n">
        <v>120</v>
      </c>
      <c r="L28" s="4">
        <f>VLOOKUP(A28, Catalogo_Productos!$A$2:$I$351, 7, FALSE)</f>
        <v/>
      </c>
      <c r="M28" s="6">
        <f>IF(E28&gt;=J28, 9.99, E28/(J28-E28))</f>
        <v/>
      </c>
      <c r="N28" s="6">
        <f>ABS(L28)*E28</f>
        <v/>
      </c>
      <c r="O28" s="5">
        <f>ROUND(K28*(1+N28), 0)</f>
        <v/>
      </c>
      <c r="P28" s="3">
        <f>H28*O28</f>
        <v/>
      </c>
      <c r="Q28" s="3">
        <f>I28*O28</f>
        <v/>
      </c>
      <c r="R28" s="3">
        <f>(D28-F28-(D28*G28))*K28</f>
        <v/>
      </c>
      <c r="S28" s="3">
        <f>Q28-R28</f>
        <v/>
      </c>
      <c r="T28" s="2">
        <f>IF(S28&gt;0, "APROBADA", "RECHAZADA")</f>
        <v/>
      </c>
    </row>
    <row r="29">
      <c r="A29" s="2" t="inlineStr">
        <is>
          <t>IRN-FUE-KET-0028</t>
        </is>
      </c>
      <c r="B29" s="2" t="inlineStr">
        <is>
          <t>MELI_FULL</t>
        </is>
      </c>
      <c r="C29" s="2" t="inlineStr">
        <is>
          <t>USD</t>
        </is>
      </c>
      <c r="D29" s="3" t="n">
        <v>132.37</v>
      </c>
      <c r="E29" s="6" t="n">
        <v>0.1</v>
      </c>
      <c r="F29" s="3">
        <f>VLOOKUP(A29, Catalogo_Productos!$A$2:$I$351, 6, FALSE)</f>
        <v/>
      </c>
      <c r="G29" s="6">
        <f>IF(B29="MELI_FULL", 0.14, IF(B29="D2C_SHOPIFY", 0.025, 0.01))</f>
        <v/>
      </c>
      <c r="H29" s="3">
        <f>D29*(1-E29)</f>
        <v/>
      </c>
      <c r="I29" s="3">
        <f>H29-F29-(D29*G29)</f>
        <v/>
      </c>
      <c r="J29" s="6">
        <f>I29/H29</f>
        <v/>
      </c>
      <c r="K29" s="5" t="n">
        <v>80</v>
      </c>
      <c r="L29" s="4">
        <f>VLOOKUP(A29, Catalogo_Productos!$A$2:$I$351, 7, FALSE)</f>
        <v/>
      </c>
      <c r="M29" s="6">
        <f>IF(E29&gt;=J29, 9.99, E29/(J29-E29))</f>
        <v/>
      </c>
      <c r="N29" s="6">
        <f>ABS(L29)*E29</f>
        <v/>
      </c>
      <c r="O29" s="5">
        <f>ROUND(K29*(1+N29), 0)</f>
        <v/>
      </c>
      <c r="P29" s="3">
        <f>H29*O29</f>
        <v/>
      </c>
      <c r="Q29" s="3">
        <f>I29*O29</f>
        <v/>
      </c>
      <c r="R29" s="3">
        <f>(D29-F29-(D29*G29))*K29</f>
        <v/>
      </c>
      <c r="S29" s="3">
        <f>Q29-R29</f>
        <v/>
      </c>
      <c r="T29" s="2">
        <f>IF(S29&gt;0, "APROBADA", "RECHAZADA")</f>
        <v/>
      </c>
    </row>
    <row r="30">
      <c r="A30" s="2" t="inlineStr">
        <is>
          <t>IRN-FUE-KET-0029</t>
        </is>
      </c>
      <c r="B30" s="2" t="inlineStr">
        <is>
          <t>D2C_SHOPIFY</t>
        </is>
      </c>
      <c r="C30" s="2" t="inlineStr">
        <is>
          <t>USD</t>
        </is>
      </c>
      <c r="D30" s="3" t="n">
        <v>101.91</v>
      </c>
      <c r="E30" s="6" t="n">
        <v>0.15</v>
      </c>
      <c r="F30" s="3">
        <f>VLOOKUP(A30, Catalogo_Productos!$A$2:$I$351, 6, FALSE)</f>
        <v/>
      </c>
      <c r="G30" s="6">
        <f>IF(B30="MELI_FULL", 0.14, IF(B30="D2C_SHOPIFY", 0.025, 0.01))</f>
        <v/>
      </c>
      <c r="H30" s="3">
        <f>D30*(1-E30)</f>
        <v/>
      </c>
      <c r="I30" s="3">
        <f>H30-F30-(D30*G30)</f>
        <v/>
      </c>
      <c r="J30" s="6">
        <f>I30/H30</f>
        <v/>
      </c>
      <c r="K30" s="5" t="n">
        <v>120</v>
      </c>
      <c r="L30" s="4">
        <f>VLOOKUP(A30, Catalogo_Productos!$A$2:$I$351, 7, FALSE)</f>
        <v/>
      </c>
      <c r="M30" s="6">
        <f>IF(E30&gt;=J30, 9.99, E30/(J30-E30))</f>
        <v/>
      </c>
      <c r="N30" s="6">
        <f>ABS(L30)*E30</f>
        <v/>
      </c>
      <c r="O30" s="5">
        <f>ROUND(K30*(1+N30), 0)</f>
        <v/>
      </c>
      <c r="P30" s="3">
        <f>H30*O30</f>
        <v/>
      </c>
      <c r="Q30" s="3">
        <f>I30*O30</f>
        <v/>
      </c>
      <c r="R30" s="3">
        <f>(D30-F30-(D30*G30))*K30</f>
        <v/>
      </c>
      <c r="S30" s="3">
        <f>Q30-R30</f>
        <v/>
      </c>
      <c r="T30" s="2">
        <f>IF(S30&gt;0, "APROBADA", "RECHAZADA")</f>
        <v/>
      </c>
    </row>
    <row r="31">
      <c r="A31" s="2" t="inlineStr">
        <is>
          <t>IRN-RAC-POW-0030</t>
        </is>
      </c>
      <c r="B31" s="2" t="inlineStr">
        <is>
          <t>MELI_FULL</t>
        </is>
      </c>
      <c r="C31" s="2" t="inlineStr">
        <is>
          <t>USD</t>
        </is>
      </c>
      <c r="D31" s="3" t="n">
        <v>1585.32</v>
      </c>
      <c r="E31" s="6" t="n">
        <v>0.1</v>
      </c>
      <c r="F31" s="3">
        <f>VLOOKUP(A31, Catalogo_Productos!$A$2:$I$351, 6, FALSE)</f>
        <v/>
      </c>
      <c r="G31" s="6">
        <f>IF(B31="MELI_FULL", 0.14, IF(B31="D2C_SHOPIFY", 0.025, 0.01))</f>
        <v/>
      </c>
      <c r="H31" s="3">
        <f>D31*(1-E31)</f>
        <v/>
      </c>
      <c r="I31" s="3">
        <f>H31-F31-(D31*G31)</f>
        <v/>
      </c>
      <c r="J31" s="6">
        <f>I31/H31</f>
        <v/>
      </c>
      <c r="K31" s="5" t="n">
        <v>80</v>
      </c>
      <c r="L31" s="4">
        <f>VLOOKUP(A31, Catalogo_Productos!$A$2:$I$351, 7, FALSE)</f>
        <v/>
      </c>
      <c r="M31" s="6">
        <f>IF(E31&gt;=J31, 9.99, E31/(J31-E31))</f>
        <v/>
      </c>
      <c r="N31" s="6">
        <f>ABS(L31)*E31</f>
        <v/>
      </c>
      <c r="O31" s="5">
        <f>ROUND(K31*(1+N31), 0)</f>
        <v/>
      </c>
      <c r="P31" s="3">
        <f>H31*O31</f>
        <v/>
      </c>
      <c r="Q31" s="3">
        <f>I31*O31</f>
        <v/>
      </c>
      <c r="R31" s="3">
        <f>(D31-F31-(D31*G31))*K31</f>
        <v/>
      </c>
      <c r="S31" s="3">
        <f>Q31-R31</f>
        <v/>
      </c>
      <c r="T31" s="2">
        <f>IF(S31&gt;0, "APROBADA", "RECHAZADA")</f>
        <v/>
      </c>
    </row>
    <row r="32">
      <c r="A32" s="2" t="inlineStr">
        <is>
          <t>IRN-RAC-POW-0031</t>
        </is>
      </c>
      <c r="B32" s="2" t="inlineStr">
        <is>
          <t>D2C_SHOPIFY</t>
        </is>
      </c>
      <c r="C32" s="2" t="inlineStr">
        <is>
          <t>USD</t>
        </is>
      </c>
      <c r="D32" s="3" t="n">
        <v>2050.37</v>
      </c>
      <c r="E32" s="6" t="n">
        <v>0.1</v>
      </c>
      <c r="F32" s="3">
        <f>VLOOKUP(A32, Catalogo_Productos!$A$2:$I$351, 6, FALSE)</f>
        <v/>
      </c>
      <c r="G32" s="6">
        <f>IF(B32="MELI_FULL", 0.14, IF(B32="D2C_SHOPIFY", 0.025, 0.01))</f>
        <v/>
      </c>
      <c r="H32" s="3">
        <f>D32*(1-E32)</f>
        <v/>
      </c>
      <c r="I32" s="3">
        <f>H32-F32-(D32*G32)</f>
        <v/>
      </c>
      <c r="J32" s="6">
        <f>I32/H32</f>
        <v/>
      </c>
      <c r="K32" s="5" t="n">
        <v>120</v>
      </c>
      <c r="L32" s="4">
        <f>VLOOKUP(A32, Catalogo_Productos!$A$2:$I$351, 7, FALSE)</f>
        <v/>
      </c>
      <c r="M32" s="6">
        <f>IF(E32&gt;=J32, 9.99, E32/(J32-E32))</f>
        <v/>
      </c>
      <c r="N32" s="6">
        <f>ABS(L32)*E32</f>
        <v/>
      </c>
      <c r="O32" s="5">
        <f>ROUND(K32*(1+N32), 0)</f>
        <v/>
      </c>
      <c r="P32" s="3">
        <f>H32*O32</f>
        <v/>
      </c>
      <c r="Q32" s="3">
        <f>I32*O32</f>
        <v/>
      </c>
      <c r="R32" s="3">
        <f>(D32-F32-(D32*G32))*K32</f>
        <v/>
      </c>
      <c r="S32" s="3">
        <f>Q32-R32</f>
        <v/>
      </c>
      <c r="T32" s="2">
        <f>IF(S32&gt;0, "APROBADA", "RECHAZADA")</f>
        <v/>
      </c>
    </row>
    <row r="33">
      <c r="A33" s="2" t="inlineStr">
        <is>
          <t>IRN-RAC-POW-0032</t>
        </is>
      </c>
      <c r="B33" s="2" t="inlineStr">
        <is>
          <t>MELI_FULL</t>
        </is>
      </c>
      <c r="C33" s="2" t="inlineStr">
        <is>
          <t>USD</t>
        </is>
      </c>
      <c r="D33" s="3" t="n">
        <v>1481.21</v>
      </c>
      <c r="E33" s="6" t="n">
        <v>0.15</v>
      </c>
      <c r="F33" s="3">
        <f>VLOOKUP(A33, Catalogo_Productos!$A$2:$I$351, 6, FALSE)</f>
        <v/>
      </c>
      <c r="G33" s="6">
        <f>IF(B33="MELI_FULL", 0.14, IF(B33="D2C_SHOPIFY", 0.025, 0.01))</f>
        <v/>
      </c>
      <c r="H33" s="3">
        <f>D33*(1-E33)</f>
        <v/>
      </c>
      <c r="I33" s="3">
        <f>H33-F33-(D33*G33)</f>
        <v/>
      </c>
      <c r="J33" s="6">
        <f>I33/H33</f>
        <v/>
      </c>
      <c r="K33" s="5" t="n">
        <v>80</v>
      </c>
      <c r="L33" s="4">
        <f>VLOOKUP(A33, Catalogo_Productos!$A$2:$I$351, 7, FALSE)</f>
        <v/>
      </c>
      <c r="M33" s="6">
        <f>IF(E33&gt;=J33, 9.99, E33/(J33-E33))</f>
        <v/>
      </c>
      <c r="N33" s="6">
        <f>ABS(L33)*E33</f>
        <v/>
      </c>
      <c r="O33" s="5">
        <f>ROUND(K33*(1+N33), 0)</f>
        <v/>
      </c>
      <c r="P33" s="3">
        <f>H33*O33</f>
        <v/>
      </c>
      <c r="Q33" s="3">
        <f>I33*O33</f>
        <v/>
      </c>
      <c r="R33" s="3">
        <f>(D33-F33-(D33*G33))*K33</f>
        <v/>
      </c>
      <c r="S33" s="3">
        <f>Q33-R33</f>
        <v/>
      </c>
      <c r="T33" s="2">
        <f>IF(S33&gt;0, "APROBADA", "RECHAZADA")</f>
        <v/>
      </c>
    </row>
    <row r="34">
      <c r="A34" s="2" t="inlineStr">
        <is>
          <t>IRN-RAC-POW-0033</t>
        </is>
      </c>
      <c r="B34" s="2" t="inlineStr">
        <is>
          <t>D2C_SHOPIFY</t>
        </is>
      </c>
      <c r="C34" s="2" t="inlineStr">
        <is>
          <t>USD</t>
        </is>
      </c>
      <c r="D34" s="3" t="n">
        <v>1029.88</v>
      </c>
      <c r="E34" s="6" t="n">
        <v>0.1</v>
      </c>
      <c r="F34" s="3">
        <f>VLOOKUP(A34, Catalogo_Productos!$A$2:$I$351, 6, FALSE)</f>
        <v/>
      </c>
      <c r="G34" s="6">
        <f>IF(B34="MELI_FULL", 0.14, IF(B34="D2C_SHOPIFY", 0.025, 0.01))</f>
        <v/>
      </c>
      <c r="H34" s="3">
        <f>D34*(1-E34)</f>
        <v/>
      </c>
      <c r="I34" s="3">
        <f>H34-F34-(D34*G34)</f>
        <v/>
      </c>
      <c r="J34" s="6">
        <f>I34/H34</f>
        <v/>
      </c>
      <c r="K34" s="5" t="n">
        <v>120</v>
      </c>
      <c r="L34" s="4">
        <f>VLOOKUP(A34, Catalogo_Productos!$A$2:$I$351, 7, FALSE)</f>
        <v/>
      </c>
      <c r="M34" s="6">
        <f>IF(E34&gt;=J34, 9.99, E34/(J34-E34))</f>
        <v/>
      </c>
      <c r="N34" s="6">
        <f>ABS(L34)*E34</f>
        <v/>
      </c>
      <c r="O34" s="5">
        <f>ROUND(K34*(1+N34), 0)</f>
        <v/>
      </c>
      <c r="P34" s="3">
        <f>H34*O34</f>
        <v/>
      </c>
      <c r="Q34" s="3">
        <f>I34*O34</f>
        <v/>
      </c>
      <c r="R34" s="3">
        <f>(D34-F34-(D34*G34))*K34</f>
        <v/>
      </c>
      <c r="S34" s="3">
        <f>Q34-R34</f>
        <v/>
      </c>
      <c r="T34" s="2">
        <f>IF(S34&gt;0, "APROBADA", "RECHAZADA")</f>
        <v/>
      </c>
    </row>
    <row r="35">
      <c r="A35" s="2" t="inlineStr">
        <is>
          <t>IRN-RAC-SQU-0034</t>
        </is>
      </c>
      <c r="B35" s="2" t="inlineStr">
        <is>
          <t>MELI_FULL</t>
        </is>
      </c>
      <c r="C35" s="2" t="inlineStr">
        <is>
          <t>USD</t>
        </is>
      </c>
      <c r="D35" s="3" t="n">
        <v>240.08</v>
      </c>
      <c r="E35" s="6" t="n">
        <v>0.2</v>
      </c>
      <c r="F35" s="3">
        <f>VLOOKUP(A35, Catalogo_Productos!$A$2:$I$351, 6, FALSE)</f>
        <v/>
      </c>
      <c r="G35" s="6">
        <f>IF(B35="MELI_FULL", 0.14, IF(B35="D2C_SHOPIFY", 0.025, 0.01))</f>
        <v/>
      </c>
      <c r="H35" s="3">
        <f>D35*(1-E35)</f>
        <v/>
      </c>
      <c r="I35" s="3">
        <f>H35-F35-(D35*G35)</f>
        <v/>
      </c>
      <c r="J35" s="6">
        <f>I35/H35</f>
        <v/>
      </c>
      <c r="K35" s="5" t="n">
        <v>80</v>
      </c>
      <c r="L35" s="4">
        <f>VLOOKUP(A35, Catalogo_Productos!$A$2:$I$351, 7, FALSE)</f>
        <v/>
      </c>
      <c r="M35" s="6">
        <f>IF(E35&gt;=J35, 9.99, E35/(J35-E35))</f>
        <v/>
      </c>
      <c r="N35" s="6">
        <f>ABS(L35)*E35</f>
        <v/>
      </c>
      <c r="O35" s="5">
        <f>ROUND(K35*(1+N35), 0)</f>
        <v/>
      </c>
      <c r="P35" s="3">
        <f>H35*O35</f>
        <v/>
      </c>
      <c r="Q35" s="3">
        <f>I35*O35</f>
        <v/>
      </c>
      <c r="R35" s="3">
        <f>(D35-F35-(D35*G35))*K35</f>
        <v/>
      </c>
      <c r="S35" s="3">
        <f>Q35-R35</f>
        <v/>
      </c>
      <c r="T35" s="2">
        <f>IF(S35&gt;0, "APROBADA", "RECHAZADA")</f>
        <v/>
      </c>
    </row>
    <row r="36">
      <c r="A36" s="2" t="inlineStr">
        <is>
          <t>IRN-RAC-SQU-0035</t>
        </is>
      </c>
      <c r="B36" s="2" t="inlineStr">
        <is>
          <t>D2C_SHOPIFY</t>
        </is>
      </c>
      <c r="C36" s="2" t="inlineStr">
        <is>
          <t>USD</t>
        </is>
      </c>
      <c r="D36" s="3" t="n">
        <v>347.71</v>
      </c>
      <c r="E36" s="6" t="n">
        <v>0.15</v>
      </c>
      <c r="F36" s="3">
        <f>VLOOKUP(A36, Catalogo_Productos!$A$2:$I$351, 6, FALSE)</f>
        <v/>
      </c>
      <c r="G36" s="6">
        <f>IF(B36="MELI_FULL", 0.14, IF(B36="D2C_SHOPIFY", 0.025, 0.01))</f>
        <v/>
      </c>
      <c r="H36" s="3">
        <f>D36*(1-E36)</f>
        <v/>
      </c>
      <c r="I36" s="3">
        <f>H36-F36-(D36*G36)</f>
        <v/>
      </c>
      <c r="J36" s="6">
        <f>I36/H36</f>
        <v/>
      </c>
      <c r="K36" s="5" t="n">
        <v>120</v>
      </c>
      <c r="L36" s="4">
        <f>VLOOKUP(A36, Catalogo_Productos!$A$2:$I$351, 7, FALSE)</f>
        <v/>
      </c>
      <c r="M36" s="6">
        <f>IF(E36&gt;=J36, 9.99, E36/(J36-E36))</f>
        <v/>
      </c>
      <c r="N36" s="6">
        <f>ABS(L36)*E36</f>
        <v/>
      </c>
      <c r="O36" s="5">
        <f>ROUND(K36*(1+N36), 0)</f>
        <v/>
      </c>
      <c r="P36" s="3">
        <f>H36*O36</f>
        <v/>
      </c>
      <c r="Q36" s="3">
        <f>I36*O36</f>
        <v/>
      </c>
      <c r="R36" s="3">
        <f>(D36-F36-(D36*G36))*K36</f>
        <v/>
      </c>
      <c r="S36" s="3">
        <f>Q36-R36</f>
        <v/>
      </c>
      <c r="T36" s="2">
        <f>IF(S36&gt;0, "APROBADA", "RECHAZADA")</f>
        <v/>
      </c>
    </row>
    <row r="37">
      <c r="A37" s="2" t="inlineStr">
        <is>
          <t>IRN-RAC-SQU-0036</t>
        </is>
      </c>
      <c r="B37" s="2" t="inlineStr">
        <is>
          <t>MELI_FULL</t>
        </is>
      </c>
      <c r="C37" s="2" t="inlineStr">
        <is>
          <t>USD</t>
        </is>
      </c>
      <c r="D37" s="3" t="n">
        <v>330.2</v>
      </c>
      <c r="E37" s="6" t="n">
        <v>0.1</v>
      </c>
      <c r="F37" s="3">
        <f>VLOOKUP(A37, Catalogo_Productos!$A$2:$I$351, 6, FALSE)</f>
        <v/>
      </c>
      <c r="G37" s="6">
        <f>IF(B37="MELI_FULL", 0.14, IF(B37="D2C_SHOPIFY", 0.025, 0.01))</f>
        <v/>
      </c>
      <c r="H37" s="3">
        <f>D37*(1-E37)</f>
        <v/>
      </c>
      <c r="I37" s="3">
        <f>H37-F37-(D37*G37)</f>
        <v/>
      </c>
      <c r="J37" s="6">
        <f>I37/H37</f>
        <v/>
      </c>
      <c r="K37" s="5" t="n">
        <v>80</v>
      </c>
      <c r="L37" s="4">
        <f>VLOOKUP(A37, Catalogo_Productos!$A$2:$I$351, 7, FALSE)</f>
        <v/>
      </c>
      <c r="M37" s="6">
        <f>IF(E37&gt;=J37, 9.99, E37/(J37-E37))</f>
        <v/>
      </c>
      <c r="N37" s="6">
        <f>ABS(L37)*E37</f>
        <v/>
      </c>
      <c r="O37" s="5">
        <f>ROUND(K37*(1+N37), 0)</f>
        <v/>
      </c>
      <c r="P37" s="3">
        <f>H37*O37</f>
        <v/>
      </c>
      <c r="Q37" s="3">
        <f>I37*O37</f>
        <v/>
      </c>
      <c r="R37" s="3">
        <f>(D37-F37-(D37*G37))*K37</f>
        <v/>
      </c>
      <c r="S37" s="3">
        <f>Q37-R37</f>
        <v/>
      </c>
      <c r="T37" s="2">
        <f>IF(S37&gt;0, "APROBADA", "RECHAZADA")</f>
        <v/>
      </c>
    </row>
    <row r="38">
      <c r="A38" s="2" t="inlineStr">
        <is>
          <t>IRN-RAC-BAN-0037</t>
        </is>
      </c>
      <c r="B38" s="2" t="inlineStr">
        <is>
          <t>D2C_SHOPIFY</t>
        </is>
      </c>
      <c r="C38" s="2" t="inlineStr">
        <is>
          <t>USD</t>
        </is>
      </c>
      <c r="D38" s="3" t="n">
        <v>118.29</v>
      </c>
      <c r="E38" s="6" t="n">
        <v>0.1</v>
      </c>
      <c r="F38" s="3">
        <f>VLOOKUP(A38, Catalogo_Productos!$A$2:$I$351, 6, FALSE)</f>
        <v/>
      </c>
      <c r="G38" s="6">
        <f>IF(B38="MELI_FULL", 0.14, IF(B38="D2C_SHOPIFY", 0.025, 0.01))</f>
        <v/>
      </c>
      <c r="H38" s="3">
        <f>D38*(1-E38)</f>
        <v/>
      </c>
      <c r="I38" s="3">
        <f>H38-F38-(D38*G38)</f>
        <v/>
      </c>
      <c r="J38" s="6">
        <f>I38/H38</f>
        <v/>
      </c>
      <c r="K38" s="5" t="n">
        <v>120</v>
      </c>
      <c r="L38" s="4">
        <f>VLOOKUP(A38, Catalogo_Productos!$A$2:$I$351, 7, FALSE)</f>
        <v/>
      </c>
      <c r="M38" s="6">
        <f>IF(E38&gt;=J38, 9.99, E38/(J38-E38))</f>
        <v/>
      </c>
      <c r="N38" s="6">
        <f>ABS(L38)*E38</f>
        <v/>
      </c>
      <c r="O38" s="5">
        <f>ROUND(K38*(1+N38), 0)</f>
        <v/>
      </c>
      <c r="P38" s="3">
        <f>H38*O38</f>
        <v/>
      </c>
      <c r="Q38" s="3">
        <f>I38*O38</f>
        <v/>
      </c>
      <c r="R38" s="3">
        <f>(D38-F38-(D38*G38))*K38</f>
        <v/>
      </c>
      <c r="S38" s="3">
        <f>Q38-R38</f>
        <v/>
      </c>
      <c r="T38" s="2">
        <f>IF(S38&gt;0, "APROBADA", "RECHAZADA")</f>
        <v/>
      </c>
    </row>
    <row r="39">
      <c r="A39" s="2" t="inlineStr">
        <is>
          <t>IRN-RAC-BAN-0038</t>
        </is>
      </c>
      <c r="B39" s="2" t="inlineStr">
        <is>
          <t>MELI_FULL</t>
        </is>
      </c>
      <c r="C39" s="2" t="inlineStr">
        <is>
          <t>USD</t>
        </is>
      </c>
      <c r="D39" s="3" t="n">
        <v>307.17</v>
      </c>
      <c r="E39" s="6" t="n">
        <v>0.15</v>
      </c>
      <c r="F39" s="3">
        <f>VLOOKUP(A39, Catalogo_Productos!$A$2:$I$351, 6, FALSE)</f>
        <v/>
      </c>
      <c r="G39" s="6">
        <f>IF(B39="MELI_FULL", 0.14, IF(B39="D2C_SHOPIFY", 0.025, 0.01))</f>
        <v/>
      </c>
      <c r="H39" s="3">
        <f>D39*(1-E39)</f>
        <v/>
      </c>
      <c r="I39" s="3">
        <f>H39-F39-(D39*G39)</f>
        <v/>
      </c>
      <c r="J39" s="6">
        <f>I39/H39</f>
        <v/>
      </c>
      <c r="K39" s="5" t="n">
        <v>80</v>
      </c>
      <c r="L39" s="4">
        <f>VLOOKUP(A39, Catalogo_Productos!$A$2:$I$351, 7, FALSE)</f>
        <v/>
      </c>
      <c r="M39" s="6">
        <f>IF(E39&gt;=J39, 9.99, E39/(J39-E39))</f>
        <v/>
      </c>
      <c r="N39" s="6">
        <f>ABS(L39)*E39</f>
        <v/>
      </c>
      <c r="O39" s="5">
        <f>ROUND(K39*(1+N39), 0)</f>
        <v/>
      </c>
      <c r="P39" s="3">
        <f>H39*O39</f>
        <v/>
      </c>
      <c r="Q39" s="3">
        <f>I39*O39</f>
        <v/>
      </c>
      <c r="R39" s="3">
        <f>(D39-F39-(D39*G39))*K39</f>
        <v/>
      </c>
      <c r="S39" s="3">
        <f>Q39-R39</f>
        <v/>
      </c>
      <c r="T39" s="2">
        <f>IF(S39&gt;0, "APROBADA", "RECHAZADA")</f>
        <v/>
      </c>
    </row>
    <row r="40">
      <c r="A40" s="2" t="inlineStr">
        <is>
          <t>IRN-RAC-BAN-0039</t>
        </is>
      </c>
      <c r="B40" s="2" t="inlineStr">
        <is>
          <t>D2C_SHOPIFY</t>
        </is>
      </c>
      <c r="C40" s="2" t="inlineStr">
        <is>
          <t>USD</t>
        </is>
      </c>
      <c r="D40" s="3" t="n">
        <v>622.4299999999999</v>
      </c>
      <c r="E40" s="6" t="n">
        <v>0.2</v>
      </c>
      <c r="F40" s="3">
        <f>VLOOKUP(A40, Catalogo_Productos!$A$2:$I$351, 6, FALSE)</f>
        <v/>
      </c>
      <c r="G40" s="6">
        <f>IF(B40="MELI_FULL", 0.14, IF(B40="D2C_SHOPIFY", 0.025, 0.01))</f>
        <v/>
      </c>
      <c r="H40" s="3">
        <f>D40*(1-E40)</f>
        <v/>
      </c>
      <c r="I40" s="3">
        <f>H40-F40-(D40*G40)</f>
        <v/>
      </c>
      <c r="J40" s="6">
        <f>I40/H40</f>
        <v/>
      </c>
      <c r="K40" s="5" t="n">
        <v>120</v>
      </c>
      <c r="L40" s="4">
        <f>VLOOKUP(A40, Catalogo_Productos!$A$2:$I$351, 7, FALSE)</f>
        <v/>
      </c>
      <c r="M40" s="6">
        <f>IF(E40&gt;=J40, 9.99, E40/(J40-E40))</f>
        <v/>
      </c>
      <c r="N40" s="6">
        <f>ABS(L40)*E40</f>
        <v/>
      </c>
      <c r="O40" s="5">
        <f>ROUND(K40*(1+N40), 0)</f>
        <v/>
      </c>
      <c r="P40" s="3">
        <f>H40*O40</f>
        <v/>
      </c>
      <c r="Q40" s="3">
        <f>I40*O40</f>
        <v/>
      </c>
      <c r="R40" s="3">
        <f>(D40-F40-(D40*G40))*K40</f>
        <v/>
      </c>
      <c r="S40" s="3">
        <f>Q40-R40</f>
        <v/>
      </c>
      <c r="T40" s="2">
        <f>IF(S40&gt;0, "APROBADA", "RECHAZADA")</f>
        <v/>
      </c>
    </row>
    <row r="41">
      <c r="A41" s="2" t="inlineStr">
        <is>
          <t>IRN-RAC-BAN-0040</t>
        </is>
      </c>
      <c r="B41" s="2" t="inlineStr">
        <is>
          <t>MELI_FULL</t>
        </is>
      </c>
      <c r="C41" s="2" t="inlineStr">
        <is>
          <t>USD</t>
        </is>
      </c>
      <c r="D41" s="3" t="n">
        <v>172.72</v>
      </c>
      <c r="E41" s="6" t="n">
        <v>0.1</v>
      </c>
      <c r="F41" s="3">
        <f>VLOOKUP(A41, Catalogo_Productos!$A$2:$I$351, 6, FALSE)</f>
        <v/>
      </c>
      <c r="G41" s="6">
        <f>IF(B41="MELI_FULL", 0.14, IF(B41="D2C_SHOPIFY", 0.025, 0.01))</f>
        <v/>
      </c>
      <c r="H41" s="3">
        <f>D41*(1-E41)</f>
        <v/>
      </c>
      <c r="I41" s="3">
        <f>H41-F41-(D41*G41)</f>
        <v/>
      </c>
      <c r="J41" s="6">
        <f>I41/H41</f>
        <v/>
      </c>
      <c r="K41" s="5" t="n">
        <v>80</v>
      </c>
      <c r="L41" s="4">
        <f>VLOOKUP(A41, Catalogo_Productos!$A$2:$I$351, 7, FALSE)</f>
        <v/>
      </c>
      <c r="M41" s="6">
        <f>IF(E41&gt;=J41, 9.99, E41/(J41-E41))</f>
        <v/>
      </c>
      <c r="N41" s="6">
        <f>ABS(L41)*E41</f>
        <v/>
      </c>
      <c r="O41" s="5">
        <f>ROUND(K41*(1+N41), 0)</f>
        <v/>
      </c>
      <c r="P41" s="3">
        <f>H41*O41</f>
        <v/>
      </c>
      <c r="Q41" s="3">
        <f>I41*O41</f>
        <v/>
      </c>
      <c r="R41" s="3">
        <f>(D41-F41-(D41*G41))*K41</f>
        <v/>
      </c>
      <c r="S41" s="3">
        <f>Q41-R41</f>
        <v/>
      </c>
      <c r="T41" s="2">
        <f>IF(S41&gt;0, "APROBADA", "RECHAZADA")</f>
        <v/>
      </c>
    </row>
  </sheetData>
  <conditionalFormatting sqref="T2:T45">
    <cfRule type="cellIs" priority="1" operator="equal" dxfId="0" stopIfTrue="1">
      <formula>"APROBADA"</formula>
    </cfRule>
    <cfRule type="cellIs" priority="2" operator="equal" dxfId="1" stopIfTrue="1">
      <formula>"RECHAZADA"</formula>
    </cfRule>
  </conditionalFormatting>
  <dataValidations count="3">
    <dataValidation sqref="B2:B200" showDropDown="0" showInputMessage="0" showErrorMessage="0" allowBlank="0" type="list">
      <formula1>"D2C_SHOPIFY,MELI_FULL,B2B_GYM"</formula1>
    </dataValidation>
    <dataValidation sqref="C2:C200" showDropDown="0" showInputMessage="0" showErrorMessage="0" allowBlank="0" type="list">
      <formula1>"USD,CLP,MXN,ARS"</formula1>
    </dataValidation>
    <dataValidation sqref="E2:E200" showDropDown="0" showInputMessage="0" showErrorMessage="0" allowBlank="0" errorTitle="Descuento Excesivo" error="El descuento comercial no puede exceder el 60.0% sin autorización de la Gerencia General." type="decimal" operator="between">
      <formula1>0.0</formula1>
      <formula2>0.6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>
      <c r="A1" s="7" t="inlineStr">
        <is>
          <t>PANEL DE CONTROL FINANCIERO - IMPACTO EN P&amp;L</t>
        </is>
      </c>
    </row>
    <row r="2"/>
    <row r="3">
      <c r="A3" s="8" t="inlineStr">
        <is>
          <t>Métrica Clave de Campaña</t>
        </is>
      </c>
      <c r="B3" s="8" t="inlineStr">
        <is>
          <t>Fórmula Encadenada / Valor</t>
        </is>
      </c>
    </row>
    <row r="4">
      <c r="A4" s="9" t="inlineStr">
        <is>
          <t>Revenue Proyectado de Campaña ($)</t>
        </is>
      </c>
      <c r="B4" s="10">
        <f>SUM(Simulador_Pricing!P2:P41)</f>
        <v/>
      </c>
    </row>
    <row r="5">
      <c r="A5" s="9" t="inlineStr">
        <is>
          <t>Ganancia Bruta Proyectada ($)</t>
        </is>
      </c>
      <c r="B5" s="10">
        <f>SUM(Simulador_Pricing!Q2:Q41)</f>
        <v/>
      </c>
    </row>
    <row r="6">
      <c r="A6" s="9" t="inlineStr">
        <is>
          <t>Ganancia Bruta Línea Base ($)</t>
        </is>
      </c>
      <c r="B6" s="10">
        <f>SUM(Simulador_Pricing!R2:R41)</f>
        <v/>
      </c>
    </row>
    <row r="7">
      <c r="A7" s="9" t="inlineStr">
        <is>
          <t>Ganancia Incremental Neta ($)</t>
        </is>
      </c>
      <c r="B7" s="10">
        <f>B3-B4</f>
        <v/>
      </c>
    </row>
    <row r="8">
      <c r="A8" s="9" t="inlineStr">
        <is>
          <t>Margen Bruto Ponderado Campaña (%)</t>
        </is>
      </c>
      <c r="B8" s="11">
        <f>B3/B2</f>
        <v/>
      </c>
    </row>
    <row r="9">
      <c r="A9" s="9" t="inlineStr">
        <is>
          <t>Promociones Aprobadas</t>
        </is>
      </c>
      <c r="B9" s="12">
        <f>COUNTIF(Simulador_Pricing!T2:T41, "APROBADA")</f>
        <v/>
      </c>
    </row>
    <row r="10">
      <c r="A10" s="9" t="inlineStr">
        <is>
          <t>Promociones Rechazadas (Veto Margen)</t>
        </is>
      </c>
      <c r="B10" s="12">
        <f>COUNTIF(Simulador_Pricing!T2:T41, "RECHAZADA")</f>
        <v/>
      </c>
    </row>
    <row r="11">
      <c r="A11" s="9" t="inlineStr">
        <is>
          <t>Tasa de Aprobación de Campaña (%)</t>
        </is>
      </c>
      <c r="B11" s="11">
        <f>B7/(B7+B8)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4" customWidth="1" min="4" max="4"/>
    <col width="27" customWidth="1" min="5" max="5"/>
    <col width="19" customWidth="1" min="6" max="6"/>
    <col width="19" customWidth="1" min="7" max="7"/>
  </cols>
  <sheetData>
    <row r="1">
      <c r="A1" s="13" t="inlineStr">
        <is>
          <t>SKU</t>
        </is>
      </c>
      <c r="B1" s="13" t="inlineStr">
        <is>
          <t>Competidor</t>
        </is>
      </c>
      <c r="C1" s="13" t="inlineStr">
        <is>
          <t>País</t>
        </is>
      </c>
      <c r="D1" s="13" t="inlineStr">
        <is>
          <t>Precio Nuestro (USD)</t>
        </is>
      </c>
      <c r="E1" s="13" t="inlineStr">
        <is>
          <t>Precio Competidor (USD)</t>
        </is>
      </c>
      <c r="F1" s="13" t="inlineStr">
        <is>
          <t>Price Index (%)</t>
        </is>
      </c>
      <c r="G1" s="13" t="inlineStr">
        <is>
          <t>Posicionamiento</t>
        </is>
      </c>
    </row>
    <row r="2">
      <c r="A2" s="2" t="inlineStr">
        <is>
          <t>IRN-FUE-BAR-0001</t>
        </is>
      </c>
      <c r="B2" s="2" t="inlineStr">
        <is>
          <t>SDmed</t>
        </is>
      </c>
      <c r="C2" s="2" t="inlineStr">
        <is>
          <t>CL</t>
        </is>
      </c>
      <c r="D2" s="3" t="n">
        <v>73.16</v>
      </c>
      <c r="E2" s="3" t="n">
        <v>63.23</v>
      </c>
      <c r="F2" s="14">
        <f>(D2/E2)*100</f>
        <v/>
      </c>
      <c r="G2" s="2">
        <f>IF(F2&gt;115, "Overpriced", IF(F2&gt;=105, "Healthy Premium", IF(F2&gt;=95, "Competitive Parity", "Underpriced")))</f>
        <v/>
      </c>
    </row>
    <row r="3">
      <c r="A3" s="2" t="inlineStr">
        <is>
          <t>IRN-FUE-BAR-0001</t>
        </is>
      </c>
      <c r="B3" s="2" t="inlineStr">
        <is>
          <t>SDmed</t>
        </is>
      </c>
      <c r="C3" s="2" t="inlineStr">
        <is>
          <t>MX</t>
        </is>
      </c>
      <c r="D3" s="3" t="n">
        <v>73.16</v>
      </c>
      <c r="E3" s="3" t="n">
        <v>63.23</v>
      </c>
      <c r="F3" s="14">
        <f>(D3/E3)*100</f>
        <v/>
      </c>
      <c r="G3" s="2">
        <f>IF(F3&gt;115, "Overpriced", IF(F3&gt;=105, "Healthy Premium", IF(F3&gt;=95, "Competitive Parity", "Underpriced")))</f>
        <v/>
      </c>
    </row>
    <row r="4">
      <c r="A4" s="2" t="inlineStr">
        <is>
          <t>IRN-FUE-BAR-0001</t>
        </is>
      </c>
      <c r="B4" s="2" t="inlineStr">
        <is>
          <t>SDmed</t>
        </is>
      </c>
      <c r="C4" s="2" t="inlineStr">
        <is>
          <t>AR</t>
        </is>
      </c>
      <c r="D4" s="3" t="n">
        <v>73.16</v>
      </c>
      <c r="E4" s="3" t="n">
        <v>63.23</v>
      </c>
      <c r="F4" s="14">
        <f>(D4/E4)*100</f>
        <v/>
      </c>
      <c r="G4" s="2">
        <f>IF(F4&gt;115, "Overpriced", IF(F4&gt;=105, "Healthy Premium", IF(F4&gt;=95, "Competitive Parity", "Underpriced")))</f>
        <v/>
      </c>
    </row>
    <row r="5">
      <c r="A5" s="2" t="inlineStr">
        <is>
          <t>IRN-FUE-BAR-0001</t>
        </is>
      </c>
      <c r="B5" s="2" t="inlineStr">
        <is>
          <t>Spartan</t>
        </is>
      </c>
      <c r="C5" s="2" t="inlineStr">
        <is>
          <t>CL</t>
        </is>
      </c>
      <c r="D5" s="3" t="n">
        <v>73.16</v>
      </c>
      <c r="E5" s="3" t="n">
        <v>73.33</v>
      </c>
      <c r="F5" s="14">
        <f>(D5/E5)*100</f>
        <v/>
      </c>
      <c r="G5" s="2">
        <f>IF(F5&gt;115, "Overpriced", IF(F5&gt;=105, "Healthy Premium", IF(F5&gt;=95, "Competitive Parity", "Underpriced")))</f>
        <v/>
      </c>
    </row>
    <row r="6">
      <c r="A6" s="2" t="inlineStr">
        <is>
          <t>IRN-FUE-BAR-0001</t>
        </is>
      </c>
      <c r="B6" s="2" t="inlineStr">
        <is>
          <t>Spartan</t>
        </is>
      </c>
      <c r="C6" s="2" t="inlineStr">
        <is>
          <t>MX</t>
        </is>
      </c>
      <c r="D6" s="3" t="n">
        <v>73.16</v>
      </c>
      <c r="E6" s="3" t="n">
        <v>73.33</v>
      </c>
      <c r="F6" s="14">
        <f>(D6/E6)*100</f>
        <v/>
      </c>
      <c r="G6" s="2">
        <f>IF(F6&gt;115, "Overpriced", IF(F6&gt;=105, "Healthy Premium", IF(F6&gt;=95, "Competitive Parity", "Underpriced")))</f>
        <v/>
      </c>
    </row>
    <row r="7">
      <c r="A7" s="2" t="inlineStr">
        <is>
          <t>IRN-FUE-BAR-0001</t>
        </is>
      </c>
      <c r="B7" s="2" t="inlineStr">
        <is>
          <t>Spartan</t>
        </is>
      </c>
      <c r="C7" s="2" t="inlineStr">
        <is>
          <t>AR</t>
        </is>
      </c>
      <c r="D7" s="3" t="n">
        <v>73.16</v>
      </c>
      <c r="E7" s="3" t="n">
        <v>73.33</v>
      </c>
      <c r="F7" s="14">
        <f>(D7/E7)*100</f>
        <v/>
      </c>
      <c r="G7" s="2">
        <f>IF(F7&gt;115, "Overpriced", IF(F7&gt;=105, "Healthy Premium", IF(F7&gt;=95, "Competitive Parity", "Underpriced")))</f>
        <v/>
      </c>
    </row>
    <row r="8">
      <c r="A8" s="2" t="inlineStr">
        <is>
          <t>IRN-FUE-BAR-0001</t>
        </is>
      </c>
      <c r="B8" s="2" t="inlineStr">
        <is>
          <t>Rogue</t>
        </is>
      </c>
      <c r="C8" s="2" t="inlineStr">
        <is>
          <t>CL</t>
        </is>
      </c>
      <c r="D8" s="3" t="n">
        <v>73.16</v>
      </c>
      <c r="E8" s="3" t="n">
        <v>92.48</v>
      </c>
      <c r="F8" s="14">
        <f>(D8/E8)*100</f>
        <v/>
      </c>
      <c r="G8" s="2">
        <f>IF(F8&gt;115, "Overpriced", IF(F8&gt;=105, "Healthy Premium", IF(F8&gt;=95, "Competitive Parity", "Underpriced")))</f>
        <v/>
      </c>
    </row>
    <row r="9">
      <c r="A9" s="2" t="inlineStr">
        <is>
          <t>IRN-FUE-BAR-0001</t>
        </is>
      </c>
      <c r="B9" s="2" t="inlineStr">
        <is>
          <t>Rogue</t>
        </is>
      </c>
      <c r="C9" s="2" t="inlineStr">
        <is>
          <t>MX</t>
        </is>
      </c>
      <c r="D9" s="3" t="n">
        <v>73.16</v>
      </c>
      <c r="E9" s="3" t="n">
        <v>92.48</v>
      </c>
      <c r="F9" s="14">
        <f>(D9/E9)*100</f>
        <v/>
      </c>
      <c r="G9" s="2">
        <f>IF(F9&gt;115, "Overpriced", IF(F9&gt;=105, "Healthy Premium", IF(F9&gt;=95, "Competitive Parity", "Underpriced")))</f>
        <v/>
      </c>
    </row>
    <row r="10">
      <c r="A10" s="2" t="inlineStr">
        <is>
          <t>IRN-FUE-BAR-0001</t>
        </is>
      </c>
      <c r="B10" s="2" t="inlineStr">
        <is>
          <t>Rogue</t>
        </is>
      </c>
      <c r="C10" s="2" t="inlineStr">
        <is>
          <t>AR</t>
        </is>
      </c>
      <c r="D10" s="3" t="n">
        <v>73.16</v>
      </c>
      <c r="E10" s="3" t="n">
        <v>92.48</v>
      </c>
      <c r="F10" s="14">
        <f>(D10/E10)*100</f>
        <v/>
      </c>
      <c r="G10" s="2">
        <f>IF(F10&gt;115, "Overpriced", IF(F10&gt;=105, "Healthy Premium", IF(F10&gt;=95, "Competitive Parity", "Underpriced")))</f>
        <v/>
      </c>
    </row>
    <row r="11">
      <c r="A11" s="2" t="inlineStr">
        <is>
          <t>IRN-FUE-BAR-0001</t>
        </is>
      </c>
      <c r="B11" s="2" t="inlineStr">
        <is>
          <t>Tayga</t>
        </is>
      </c>
      <c r="C11" s="2" t="inlineStr">
        <is>
          <t>CL</t>
        </is>
      </c>
      <c r="D11" s="3" t="n">
        <v>73.16</v>
      </c>
      <c r="E11" s="3" t="n">
        <v>69.55</v>
      </c>
      <c r="F11" s="14">
        <f>(D11/E11)*100</f>
        <v/>
      </c>
      <c r="G11" s="2">
        <f>IF(F11&gt;115, "Overpriced", IF(F11&gt;=105, "Healthy Premium", IF(F11&gt;=95, "Competitive Parity", "Underpriced")))</f>
        <v/>
      </c>
    </row>
    <row r="12">
      <c r="A12" s="2" t="inlineStr">
        <is>
          <t>IRN-FUE-BAR-0001</t>
        </is>
      </c>
      <c r="B12" s="2" t="inlineStr">
        <is>
          <t>Tayga</t>
        </is>
      </c>
      <c r="C12" s="2" t="inlineStr">
        <is>
          <t>MX</t>
        </is>
      </c>
      <c r="D12" s="3" t="n">
        <v>73.16</v>
      </c>
      <c r="E12" s="3" t="n">
        <v>69.55</v>
      </c>
      <c r="F12" s="14">
        <f>(D12/E12)*100</f>
        <v/>
      </c>
      <c r="G12" s="2">
        <f>IF(F12&gt;115, "Overpriced", IF(F12&gt;=105, "Healthy Premium", IF(F12&gt;=95, "Competitive Parity", "Underpriced")))</f>
        <v/>
      </c>
    </row>
    <row r="13">
      <c r="A13" s="2" t="inlineStr">
        <is>
          <t>IRN-FUE-BAR-0001</t>
        </is>
      </c>
      <c r="B13" s="2" t="inlineStr">
        <is>
          <t>Tayga</t>
        </is>
      </c>
      <c r="C13" s="2" t="inlineStr">
        <is>
          <t>AR</t>
        </is>
      </c>
      <c r="D13" s="3" t="n">
        <v>73.16</v>
      </c>
      <c r="E13" s="3" t="n">
        <v>69.55</v>
      </c>
      <c r="F13" s="14">
        <f>(D13/E13)*100</f>
        <v/>
      </c>
      <c r="G13" s="2">
        <f>IF(F13&gt;115, "Overpriced", IF(F13&gt;=105, "Healthy Premium", IF(F13&gt;=95, "Competitive Parity", "Underpriced")))</f>
        <v/>
      </c>
    </row>
    <row r="14">
      <c r="A14" s="2" t="inlineStr">
        <is>
          <t>IRN-FUE-BAR-0002</t>
        </is>
      </c>
      <c r="B14" s="2" t="inlineStr">
        <is>
          <t>Spartan</t>
        </is>
      </c>
      <c r="C14" s="2" t="inlineStr">
        <is>
          <t>CL</t>
        </is>
      </c>
      <c r="D14" s="3" t="n">
        <v>186.28</v>
      </c>
      <c r="E14" s="3" t="n">
        <v>179.13</v>
      </c>
      <c r="F14" s="14">
        <f>(D14/E14)*100</f>
        <v/>
      </c>
      <c r="G14" s="2">
        <f>IF(F14&gt;115, "Overpriced", IF(F14&gt;=105, "Healthy Premium", IF(F14&gt;=95, "Competitive Parity", "Underpriced")))</f>
        <v/>
      </c>
    </row>
    <row r="15">
      <c r="A15" s="2" t="inlineStr">
        <is>
          <t>IRN-FUE-BAR-0002</t>
        </is>
      </c>
      <c r="B15" s="2" t="inlineStr">
        <is>
          <t>Spartan</t>
        </is>
      </c>
      <c r="C15" s="2" t="inlineStr">
        <is>
          <t>MX</t>
        </is>
      </c>
      <c r="D15" s="3" t="n">
        <v>186.28</v>
      </c>
      <c r="E15" s="3" t="n">
        <v>179.13</v>
      </c>
      <c r="F15" s="14">
        <f>(D15/E15)*100</f>
        <v/>
      </c>
      <c r="G15" s="2">
        <f>IF(F15&gt;115, "Overpriced", IF(F15&gt;=105, "Healthy Premium", IF(F15&gt;=95, "Competitive Parity", "Underpriced")))</f>
        <v/>
      </c>
    </row>
    <row r="16">
      <c r="A16" s="2" t="inlineStr">
        <is>
          <t>IRN-FUE-BAR-0002</t>
        </is>
      </c>
      <c r="B16" s="2" t="inlineStr">
        <is>
          <t>Spartan</t>
        </is>
      </c>
      <c r="C16" s="2" t="inlineStr">
        <is>
          <t>AR</t>
        </is>
      </c>
      <c r="D16" s="3" t="n">
        <v>186.28</v>
      </c>
      <c r="E16" s="3" t="n">
        <v>179.13</v>
      </c>
      <c r="F16" s="14">
        <f>(D16/E16)*100</f>
        <v/>
      </c>
      <c r="G16" s="2">
        <f>IF(F16&gt;115, "Overpriced", IF(F16&gt;=105, "Healthy Premium", IF(F16&gt;=95, "Competitive Parity", "Underpriced")))</f>
        <v/>
      </c>
    </row>
    <row r="17">
      <c r="A17" s="2" t="inlineStr">
        <is>
          <t>IRN-FUE-BAR-0002</t>
        </is>
      </c>
      <c r="B17" s="2" t="inlineStr">
        <is>
          <t>Tayga</t>
        </is>
      </c>
      <c r="C17" s="2" t="inlineStr">
        <is>
          <t>CL</t>
        </is>
      </c>
      <c r="D17" s="3" t="n">
        <v>186.28</v>
      </c>
      <c r="E17" s="3" t="n">
        <v>173.3</v>
      </c>
      <c r="F17" s="14">
        <f>(D17/E17)*100</f>
        <v/>
      </c>
      <c r="G17" s="2">
        <f>IF(F17&gt;115, "Overpriced", IF(F17&gt;=105, "Healthy Premium", IF(F17&gt;=95, "Competitive Parity", "Underpriced")))</f>
        <v/>
      </c>
    </row>
    <row r="18">
      <c r="A18" s="2" t="inlineStr">
        <is>
          <t>IRN-FUE-BAR-0002</t>
        </is>
      </c>
      <c r="B18" s="2" t="inlineStr">
        <is>
          <t>Tayga</t>
        </is>
      </c>
      <c r="C18" s="2" t="inlineStr">
        <is>
          <t>MX</t>
        </is>
      </c>
      <c r="D18" s="3" t="n">
        <v>186.28</v>
      </c>
      <c r="E18" s="3" t="n">
        <v>173.3</v>
      </c>
      <c r="F18" s="14">
        <f>(D18/E18)*100</f>
        <v/>
      </c>
      <c r="G18" s="2">
        <f>IF(F18&gt;115, "Overpriced", IF(F18&gt;=105, "Healthy Premium", IF(F18&gt;=95, "Competitive Parity", "Underpriced")))</f>
        <v/>
      </c>
    </row>
    <row r="19">
      <c r="A19" s="2" t="inlineStr">
        <is>
          <t>IRN-FUE-BAR-0002</t>
        </is>
      </c>
      <c r="B19" s="2" t="inlineStr">
        <is>
          <t>Tayga</t>
        </is>
      </c>
      <c r="C19" s="2" t="inlineStr">
        <is>
          <t>AR</t>
        </is>
      </c>
      <c r="D19" s="3" t="n">
        <v>186.28</v>
      </c>
      <c r="E19" s="3" t="n">
        <v>173.3</v>
      </c>
      <c r="F19" s="14">
        <f>(D19/E19)*100</f>
        <v/>
      </c>
      <c r="G19" s="2">
        <f>IF(F19&gt;115, "Overpriced", IF(F19&gt;=105, "Healthy Premium", IF(F19&gt;=95, "Competitive Parity", "Underpriced")))</f>
        <v/>
      </c>
    </row>
    <row r="20">
      <c r="A20" s="2" t="inlineStr">
        <is>
          <t>IRN-FUE-BAR-0002</t>
        </is>
      </c>
      <c r="B20" s="2" t="inlineStr">
        <is>
          <t>SDmed</t>
        </is>
      </c>
      <c r="C20" s="2" t="inlineStr">
        <is>
          <t>CL</t>
        </is>
      </c>
      <c r="D20" s="3" t="n">
        <v>186.28</v>
      </c>
      <c r="E20" s="3" t="n">
        <v>141.49</v>
      </c>
      <c r="F20" s="14">
        <f>(D20/E20)*100</f>
        <v/>
      </c>
      <c r="G20" s="2">
        <f>IF(F20&gt;115, "Overpriced", IF(F20&gt;=105, "Healthy Premium", IF(F20&gt;=95, "Competitive Parity", "Underpriced")))</f>
        <v/>
      </c>
    </row>
    <row r="21">
      <c r="A21" s="2" t="inlineStr">
        <is>
          <t>IRN-FUE-BAR-0002</t>
        </is>
      </c>
      <c r="B21" s="2" t="inlineStr">
        <is>
          <t>SDmed</t>
        </is>
      </c>
      <c r="C21" s="2" t="inlineStr">
        <is>
          <t>MX</t>
        </is>
      </c>
      <c r="D21" s="3" t="n">
        <v>186.28</v>
      </c>
      <c r="E21" s="3" t="n">
        <v>141.49</v>
      </c>
      <c r="F21" s="14">
        <f>(D21/E21)*100</f>
        <v/>
      </c>
      <c r="G21" s="2">
        <f>IF(F21&gt;115, "Overpriced", IF(F21&gt;=105, "Healthy Premium", IF(F21&gt;=95, "Competitive Parity", "Underpriced")))</f>
        <v/>
      </c>
    </row>
    <row r="22">
      <c r="A22" s="2" t="inlineStr">
        <is>
          <t>IRN-FUE-BAR-0002</t>
        </is>
      </c>
      <c r="B22" s="2" t="inlineStr">
        <is>
          <t>SDmed</t>
        </is>
      </c>
      <c r="C22" s="2" t="inlineStr">
        <is>
          <t>AR</t>
        </is>
      </c>
      <c r="D22" s="3" t="n">
        <v>186.28</v>
      </c>
      <c r="E22" s="3" t="n">
        <v>141.49</v>
      </c>
      <c r="F22" s="14">
        <f>(D22/E22)*100</f>
        <v/>
      </c>
      <c r="G22" s="2">
        <f>IF(F22&gt;115, "Overpriced", IF(F22&gt;=105, "Healthy Premium", IF(F22&gt;=95, "Competitive Parity", "Underpriced")))</f>
        <v/>
      </c>
    </row>
    <row r="23">
      <c r="A23" s="2" t="inlineStr">
        <is>
          <t>IRN-FUE-BAR-0002</t>
        </is>
      </c>
      <c r="B23" s="2" t="inlineStr">
        <is>
          <t>Rogue</t>
        </is>
      </c>
      <c r="C23" s="2" t="inlineStr">
        <is>
          <t>CL</t>
        </is>
      </c>
      <c r="D23" s="3" t="n">
        <v>186.28</v>
      </c>
      <c r="E23" s="3" t="n">
        <v>209.45</v>
      </c>
      <c r="F23" s="14">
        <f>(D23/E23)*100</f>
        <v/>
      </c>
      <c r="G23" s="2">
        <f>IF(F23&gt;115, "Overpriced", IF(F23&gt;=105, "Healthy Premium", IF(F23&gt;=95, "Competitive Parity", "Underpriced")))</f>
        <v/>
      </c>
    </row>
    <row r="24">
      <c r="A24" s="2" t="inlineStr">
        <is>
          <t>IRN-FUE-BAR-0002</t>
        </is>
      </c>
      <c r="B24" s="2" t="inlineStr">
        <is>
          <t>Rogue</t>
        </is>
      </c>
      <c r="C24" s="2" t="inlineStr">
        <is>
          <t>MX</t>
        </is>
      </c>
      <c r="D24" s="3" t="n">
        <v>186.28</v>
      </c>
      <c r="E24" s="3" t="n">
        <v>209.45</v>
      </c>
      <c r="F24" s="14">
        <f>(D24/E24)*100</f>
        <v/>
      </c>
      <c r="G24" s="2">
        <f>IF(F24&gt;115, "Overpriced", IF(F24&gt;=105, "Healthy Premium", IF(F24&gt;=95, "Competitive Parity", "Underpriced")))</f>
        <v/>
      </c>
    </row>
    <row r="25">
      <c r="A25" s="2" t="inlineStr">
        <is>
          <t>IRN-FUE-BAR-0002</t>
        </is>
      </c>
      <c r="B25" s="2" t="inlineStr">
        <is>
          <t>Rogue</t>
        </is>
      </c>
      <c r="C25" s="2" t="inlineStr">
        <is>
          <t>AR</t>
        </is>
      </c>
      <c r="D25" s="3" t="n">
        <v>186.28</v>
      </c>
      <c r="E25" s="3" t="n">
        <v>209.45</v>
      </c>
      <c r="F25" s="14">
        <f>(D25/E25)*100</f>
        <v/>
      </c>
      <c r="G25" s="2">
        <f>IF(F25&gt;115, "Overpriced", IF(F25&gt;=105, "Healthy Premium", IF(F25&gt;=95, "Competitive Parity", "Underpriced")))</f>
        <v/>
      </c>
    </row>
    <row r="26">
      <c r="A26" s="2" t="inlineStr">
        <is>
          <t>IRN-FUE-BAR-0003</t>
        </is>
      </c>
      <c r="B26" s="2" t="inlineStr">
        <is>
          <t>Rogue</t>
        </is>
      </c>
      <c r="C26" s="2" t="inlineStr">
        <is>
          <t>CL</t>
        </is>
      </c>
      <c r="D26" s="3" t="n">
        <v>161.68</v>
      </c>
      <c r="E26" s="3" t="n">
        <v>189.59</v>
      </c>
      <c r="F26" s="14">
        <f>(D26/E26)*100</f>
        <v/>
      </c>
      <c r="G26" s="2">
        <f>IF(F26&gt;115, "Overpriced", IF(F26&gt;=105, "Healthy Premium", IF(F26&gt;=95, "Competitive Parity", "Underpriced")))</f>
        <v/>
      </c>
    </row>
    <row r="27">
      <c r="A27" s="2" t="inlineStr">
        <is>
          <t>IRN-FUE-BAR-0003</t>
        </is>
      </c>
      <c r="B27" s="2" t="inlineStr">
        <is>
          <t>Rogue</t>
        </is>
      </c>
      <c r="C27" s="2" t="inlineStr">
        <is>
          <t>MX</t>
        </is>
      </c>
      <c r="D27" s="3" t="n">
        <v>161.68</v>
      </c>
      <c r="E27" s="3" t="n">
        <v>189.59</v>
      </c>
      <c r="F27" s="14">
        <f>(D27/E27)*100</f>
        <v/>
      </c>
      <c r="G27" s="2">
        <f>IF(F27&gt;115, "Overpriced", IF(F27&gt;=105, "Healthy Premium", IF(F27&gt;=95, "Competitive Parity", "Underpriced")))</f>
        <v/>
      </c>
    </row>
    <row r="28">
      <c r="A28" s="2" t="inlineStr">
        <is>
          <t>IRN-FUE-BAR-0003</t>
        </is>
      </c>
      <c r="B28" s="2" t="inlineStr">
        <is>
          <t>Rogue</t>
        </is>
      </c>
      <c r="C28" s="2" t="inlineStr">
        <is>
          <t>AR</t>
        </is>
      </c>
      <c r="D28" s="3" t="n">
        <v>161.68</v>
      </c>
      <c r="E28" s="3" t="n">
        <v>189.59</v>
      </c>
      <c r="F28" s="14">
        <f>(D28/E28)*100</f>
        <v/>
      </c>
      <c r="G28" s="2">
        <f>IF(F28&gt;115, "Overpriced", IF(F28&gt;=105, "Healthy Premium", IF(F28&gt;=95, "Competitive Parity", "Underpriced")))</f>
        <v/>
      </c>
    </row>
    <row r="29">
      <c r="A29" s="2" t="inlineStr">
        <is>
          <t>IRN-FUE-BAR-0003</t>
        </is>
      </c>
      <c r="B29" s="2" t="inlineStr">
        <is>
          <t>Tayga</t>
        </is>
      </c>
      <c r="C29" s="2" t="inlineStr">
        <is>
          <t>CL</t>
        </is>
      </c>
      <c r="D29" s="3" t="n">
        <v>161.68</v>
      </c>
      <c r="E29" s="3" t="n">
        <v>139.22</v>
      </c>
      <c r="F29" s="14">
        <f>(D29/E29)*100</f>
        <v/>
      </c>
      <c r="G29" s="2">
        <f>IF(F29&gt;115, "Overpriced", IF(F29&gt;=105, "Healthy Premium", IF(F29&gt;=95, "Competitive Parity", "Underpriced")))</f>
        <v/>
      </c>
    </row>
    <row r="30">
      <c r="A30" s="2" t="inlineStr">
        <is>
          <t>IRN-FUE-BAR-0003</t>
        </is>
      </c>
      <c r="B30" s="2" t="inlineStr">
        <is>
          <t>Tayga</t>
        </is>
      </c>
      <c r="C30" s="2" t="inlineStr">
        <is>
          <t>MX</t>
        </is>
      </c>
      <c r="D30" s="3" t="n">
        <v>161.68</v>
      </c>
      <c r="E30" s="3" t="n">
        <v>139.22</v>
      </c>
      <c r="F30" s="14">
        <f>(D30/E30)*100</f>
        <v/>
      </c>
      <c r="G30" s="2">
        <f>IF(F30&gt;115, "Overpriced", IF(F30&gt;=105, "Healthy Premium", IF(F30&gt;=95, "Competitive Parity", "Underpriced")))</f>
        <v/>
      </c>
    </row>
    <row r="31">
      <c r="A31" s="2" t="inlineStr">
        <is>
          <t>IRN-FUE-BAR-0003</t>
        </is>
      </c>
      <c r="B31" s="2" t="inlineStr">
        <is>
          <t>Tayga</t>
        </is>
      </c>
      <c r="C31" s="2" t="inlineStr">
        <is>
          <t>AR</t>
        </is>
      </c>
      <c r="D31" s="3" t="n">
        <v>161.68</v>
      </c>
      <c r="E31" s="3" t="n">
        <v>139.22</v>
      </c>
      <c r="F31" s="14">
        <f>(D31/E31)*100</f>
        <v/>
      </c>
      <c r="G31" s="2">
        <f>IF(F31&gt;115, "Overpriced", IF(F31&gt;=105, "Healthy Premium", IF(F31&gt;=95, "Competitive Parity", "Underpriced")))</f>
        <v/>
      </c>
    </row>
    <row r="32">
      <c r="A32" s="2" t="inlineStr">
        <is>
          <t>IRN-FUE-BAR-0003</t>
        </is>
      </c>
      <c r="B32" s="2" t="inlineStr">
        <is>
          <t>SDmed</t>
        </is>
      </c>
      <c r="C32" s="2" t="inlineStr">
        <is>
          <t>CL</t>
        </is>
      </c>
      <c r="D32" s="3" t="n">
        <v>161.68</v>
      </c>
      <c r="E32" s="3" t="n">
        <v>129.42</v>
      </c>
      <c r="F32" s="14">
        <f>(D32/E32)*100</f>
        <v/>
      </c>
      <c r="G32" s="2">
        <f>IF(F32&gt;115, "Overpriced", IF(F32&gt;=105, "Healthy Premium", IF(F32&gt;=95, "Competitive Parity", "Underpriced")))</f>
        <v/>
      </c>
    </row>
    <row r="33">
      <c r="A33" s="2" t="inlineStr">
        <is>
          <t>IRN-FUE-BAR-0003</t>
        </is>
      </c>
      <c r="B33" s="2" t="inlineStr">
        <is>
          <t>SDmed</t>
        </is>
      </c>
      <c r="C33" s="2" t="inlineStr">
        <is>
          <t>MX</t>
        </is>
      </c>
      <c r="D33" s="3" t="n">
        <v>161.68</v>
      </c>
      <c r="E33" s="3" t="n">
        <v>129.42</v>
      </c>
      <c r="F33" s="14">
        <f>(D33/E33)*100</f>
        <v/>
      </c>
      <c r="G33" s="2">
        <f>IF(F33&gt;115, "Overpriced", IF(F33&gt;=105, "Healthy Premium", IF(F33&gt;=95, "Competitive Parity", "Underpriced")))</f>
        <v/>
      </c>
    </row>
    <row r="34">
      <c r="A34" s="2" t="inlineStr">
        <is>
          <t>IRN-FUE-BAR-0003</t>
        </is>
      </c>
      <c r="B34" s="2" t="inlineStr">
        <is>
          <t>SDmed</t>
        </is>
      </c>
      <c r="C34" s="2" t="inlineStr">
        <is>
          <t>AR</t>
        </is>
      </c>
      <c r="D34" s="3" t="n">
        <v>161.68</v>
      </c>
      <c r="E34" s="3" t="n">
        <v>129.42</v>
      </c>
      <c r="F34" s="14">
        <f>(D34/E34)*100</f>
        <v/>
      </c>
      <c r="G34" s="2">
        <f>IF(F34&gt;115, "Overpriced", IF(F34&gt;=105, "Healthy Premium", IF(F34&gt;=95, "Competitive Parity", "Underpriced")))</f>
        <v/>
      </c>
    </row>
    <row r="35">
      <c r="A35" s="2" t="inlineStr">
        <is>
          <t>IRN-FUE-BAR-0003</t>
        </is>
      </c>
      <c r="B35" s="2" t="inlineStr">
        <is>
          <t>Spartan</t>
        </is>
      </c>
      <c r="C35" s="2" t="inlineStr">
        <is>
          <t>CL</t>
        </is>
      </c>
      <c r="D35" s="3" t="n">
        <v>161.68</v>
      </c>
      <c r="E35" s="3" t="n">
        <v>167.33</v>
      </c>
      <c r="F35" s="14">
        <f>(D35/E35)*100</f>
        <v/>
      </c>
      <c r="G35" s="2">
        <f>IF(F35&gt;115, "Overpriced", IF(F35&gt;=105, "Healthy Premium", IF(F35&gt;=95, "Competitive Parity", "Underpriced")))</f>
        <v/>
      </c>
    </row>
    <row r="36">
      <c r="A36" s="2" t="inlineStr">
        <is>
          <t>IRN-FUE-BAR-0003</t>
        </is>
      </c>
      <c r="B36" s="2" t="inlineStr">
        <is>
          <t>Spartan</t>
        </is>
      </c>
      <c r="C36" s="2" t="inlineStr">
        <is>
          <t>MX</t>
        </is>
      </c>
      <c r="D36" s="3" t="n">
        <v>161.68</v>
      </c>
      <c r="E36" s="3" t="n">
        <v>167.33</v>
      </c>
      <c r="F36" s="14">
        <f>(D36/E36)*100</f>
        <v/>
      </c>
      <c r="G36" s="2">
        <f>IF(F36&gt;115, "Overpriced", IF(F36&gt;=105, "Healthy Premium", IF(F36&gt;=95, "Competitive Parity", "Underpriced")))</f>
        <v/>
      </c>
    </row>
    <row r="37">
      <c r="A37" s="2" t="inlineStr">
        <is>
          <t>IRN-FUE-BAR-0003</t>
        </is>
      </c>
      <c r="B37" s="2" t="inlineStr">
        <is>
          <t>Spartan</t>
        </is>
      </c>
      <c r="C37" s="2" t="inlineStr">
        <is>
          <t>AR</t>
        </is>
      </c>
      <c r="D37" s="3" t="n">
        <v>161.68</v>
      </c>
      <c r="E37" s="3" t="n">
        <v>167.33</v>
      </c>
      <c r="F37" s="14">
        <f>(D37/E37)*100</f>
        <v/>
      </c>
      <c r="G37" s="2">
        <f>IF(F37&gt;115, "Overpriced", IF(F37&gt;=105, "Healthy Premium", IF(F37&gt;=95, "Competitive Parity", "Underpriced")))</f>
        <v/>
      </c>
    </row>
    <row r="38">
      <c r="A38" s="2" t="inlineStr">
        <is>
          <t>IRN-FUE-BAR-0004</t>
        </is>
      </c>
      <c r="B38" s="2" t="inlineStr">
        <is>
          <t>Tayga</t>
        </is>
      </c>
      <c r="C38" s="2" t="inlineStr">
        <is>
          <t>CL</t>
        </is>
      </c>
      <c r="D38" s="3" t="n">
        <v>101.17</v>
      </c>
      <c r="E38" s="3" t="n">
        <v>91.73</v>
      </c>
      <c r="F38" s="14">
        <f>(D38/E38)*100</f>
        <v/>
      </c>
      <c r="G38" s="2">
        <f>IF(F38&gt;115, "Overpriced", IF(F38&gt;=105, "Healthy Premium", IF(F38&gt;=95, "Competitive Parity", "Underpriced")))</f>
        <v/>
      </c>
    </row>
    <row r="39">
      <c r="A39" s="2" t="inlineStr">
        <is>
          <t>IRN-FUE-BAR-0004</t>
        </is>
      </c>
      <c r="B39" s="2" t="inlineStr">
        <is>
          <t>Tayga</t>
        </is>
      </c>
      <c r="C39" s="2" t="inlineStr">
        <is>
          <t>MX</t>
        </is>
      </c>
      <c r="D39" s="3" t="n">
        <v>101.17</v>
      </c>
      <c r="E39" s="3" t="n">
        <v>91.73</v>
      </c>
      <c r="F39" s="14">
        <f>(D39/E39)*100</f>
        <v/>
      </c>
      <c r="G39" s="2">
        <f>IF(F39&gt;115, "Overpriced", IF(F39&gt;=105, "Healthy Premium", IF(F39&gt;=95, "Competitive Parity", "Underpriced")))</f>
        <v/>
      </c>
    </row>
    <row r="40">
      <c r="A40" s="2" t="inlineStr">
        <is>
          <t>IRN-FUE-BAR-0004</t>
        </is>
      </c>
      <c r="B40" s="2" t="inlineStr">
        <is>
          <t>Tayga</t>
        </is>
      </c>
      <c r="C40" s="2" t="inlineStr">
        <is>
          <t>AR</t>
        </is>
      </c>
      <c r="D40" s="3" t="n">
        <v>101.17</v>
      </c>
      <c r="E40" s="3" t="n">
        <v>91.73</v>
      </c>
      <c r="F40" s="14">
        <f>(D40/E40)*100</f>
        <v/>
      </c>
      <c r="G40" s="2">
        <f>IF(F40&gt;115, "Overpriced", IF(F40&gt;=105, "Healthy Premium", IF(F40&gt;=95, "Competitive Parity", "Underpriced")))</f>
        <v/>
      </c>
    </row>
    <row r="41">
      <c r="A41" s="2" t="inlineStr">
        <is>
          <t>IRN-FUE-BAR-0004</t>
        </is>
      </c>
      <c r="B41" s="2" t="inlineStr">
        <is>
          <t>Rogue</t>
        </is>
      </c>
      <c r="C41" s="2" t="inlineStr">
        <is>
          <t>CL</t>
        </is>
      </c>
      <c r="D41" s="3" t="n">
        <v>101.17</v>
      </c>
      <c r="E41" s="3" t="n">
        <v>115.72</v>
      </c>
      <c r="F41" s="14">
        <f>(D41/E41)*100</f>
        <v/>
      </c>
      <c r="G41" s="2">
        <f>IF(F41&gt;115, "Overpriced", IF(F41&gt;=105, "Healthy Premium", IF(F41&gt;=95, "Competitive Parity", "Underpriced")))</f>
        <v/>
      </c>
    </row>
    <row r="42">
      <c r="A42" s="2" t="inlineStr">
        <is>
          <t>IRN-FUE-BAR-0004</t>
        </is>
      </c>
      <c r="B42" s="2" t="inlineStr">
        <is>
          <t>Rogue</t>
        </is>
      </c>
      <c r="C42" s="2" t="inlineStr">
        <is>
          <t>MX</t>
        </is>
      </c>
      <c r="D42" s="3" t="n">
        <v>101.17</v>
      </c>
      <c r="E42" s="3" t="n">
        <v>115.72</v>
      </c>
      <c r="F42" s="14">
        <f>(D42/E42)*100</f>
        <v/>
      </c>
      <c r="G42" s="2">
        <f>IF(F42&gt;115, "Overpriced", IF(F42&gt;=105, "Healthy Premium", IF(F42&gt;=95, "Competitive Parity", "Underpriced")))</f>
        <v/>
      </c>
    </row>
    <row r="43">
      <c r="A43" s="2" t="inlineStr">
        <is>
          <t>IRN-FUE-BAR-0004</t>
        </is>
      </c>
      <c r="B43" s="2" t="inlineStr">
        <is>
          <t>Rogue</t>
        </is>
      </c>
      <c r="C43" s="2" t="inlineStr">
        <is>
          <t>AR</t>
        </is>
      </c>
      <c r="D43" s="3" t="n">
        <v>101.17</v>
      </c>
      <c r="E43" s="3" t="n">
        <v>115.72</v>
      </c>
      <c r="F43" s="14">
        <f>(D43/E43)*100</f>
        <v/>
      </c>
      <c r="G43" s="2">
        <f>IF(F43&gt;115, "Overpriced", IF(F43&gt;=105, "Healthy Premium", IF(F43&gt;=95, "Competitive Parity", "Underpriced")))</f>
        <v/>
      </c>
    </row>
    <row r="44">
      <c r="A44" s="2" t="inlineStr">
        <is>
          <t>IRN-FUE-BAR-0005</t>
        </is>
      </c>
      <c r="B44" s="2" t="inlineStr">
        <is>
          <t>Spartan</t>
        </is>
      </c>
      <c r="C44" s="2" t="inlineStr">
        <is>
          <t>CL</t>
        </is>
      </c>
      <c r="D44" s="3" t="n">
        <v>73.56</v>
      </c>
      <c r="E44" s="3" t="n">
        <v>69.23</v>
      </c>
      <c r="F44" s="14">
        <f>(D44/E44)*100</f>
        <v/>
      </c>
      <c r="G44" s="2">
        <f>IF(F44&gt;115, "Overpriced", IF(F44&gt;=105, "Healthy Premium", IF(F44&gt;=95, "Competitive Parity", "Underpriced")))</f>
        <v/>
      </c>
    </row>
    <row r="45">
      <c r="A45" s="2" t="inlineStr">
        <is>
          <t>IRN-FUE-BAR-0005</t>
        </is>
      </c>
      <c r="B45" s="2" t="inlineStr">
        <is>
          <t>Spartan</t>
        </is>
      </c>
      <c r="C45" s="2" t="inlineStr">
        <is>
          <t>MX</t>
        </is>
      </c>
      <c r="D45" s="3" t="n">
        <v>73.56</v>
      </c>
      <c r="E45" s="3" t="n">
        <v>69.23</v>
      </c>
      <c r="F45" s="14">
        <f>(D45/E45)*100</f>
        <v/>
      </c>
      <c r="G45" s="2">
        <f>IF(F45&gt;115, "Overpriced", IF(F45&gt;=105, "Healthy Premium", IF(F45&gt;=95, "Competitive Parity", "Underpriced")))</f>
        <v/>
      </c>
    </row>
    <row r="46">
      <c r="A46" s="2" t="inlineStr">
        <is>
          <t>IRN-FUE-BAR-0005</t>
        </is>
      </c>
      <c r="B46" s="2" t="inlineStr">
        <is>
          <t>Spartan</t>
        </is>
      </c>
      <c r="C46" s="2" t="inlineStr">
        <is>
          <t>AR</t>
        </is>
      </c>
      <c r="D46" s="3" t="n">
        <v>73.56</v>
      </c>
      <c r="E46" s="3" t="n">
        <v>69.23</v>
      </c>
      <c r="F46" s="14">
        <f>(D46/E46)*100</f>
        <v/>
      </c>
      <c r="G46" s="2">
        <f>IF(F46&gt;115, "Overpriced", IF(F46&gt;=105, "Healthy Premium", IF(F46&gt;=95, "Competitive Parity", "Underpriced")))</f>
        <v/>
      </c>
    </row>
    <row r="47">
      <c r="A47" s="2" t="inlineStr">
        <is>
          <t>IRN-FUE-BAR-0005</t>
        </is>
      </c>
      <c r="B47" s="2" t="inlineStr">
        <is>
          <t>Rogue</t>
        </is>
      </c>
      <c r="C47" s="2" t="inlineStr">
        <is>
          <t>CL</t>
        </is>
      </c>
      <c r="D47" s="3" t="n">
        <v>73.56</v>
      </c>
      <c r="E47" s="3" t="n">
        <v>73.83</v>
      </c>
      <c r="F47" s="14">
        <f>(D47/E47)*100</f>
        <v/>
      </c>
      <c r="G47" s="2">
        <f>IF(F47&gt;115, "Overpriced", IF(F47&gt;=105, "Healthy Premium", IF(F47&gt;=95, "Competitive Parity", "Underpriced")))</f>
        <v/>
      </c>
    </row>
    <row r="48">
      <c r="A48" s="2" t="inlineStr">
        <is>
          <t>IRN-FUE-BAR-0005</t>
        </is>
      </c>
      <c r="B48" s="2" t="inlineStr">
        <is>
          <t>Rogue</t>
        </is>
      </c>
      <c r="C48" s="2" t="inlineStr">
        <is>
          <t>MX</t>
        </is>
      </c>
      <c r="D48" s="3" t="n">
        <v>73.56</v>
      </c>
      <c r="E48" s="3" t="n">
        <v>73.83</v>
      </c>
      <c r="F48" s="14">
        <f>(D48/E48)*100</f>
        <v/>
      </c>
      <c r="G48" s="2">
        <f>IF(F48&gt;115, "Overpriced", IF(F48&gt;=105, "Healthy Premium", IF(F48&gt;=95, "Competitive Parity", "Underpriced")))</f>
        <v/>
      </c>
    </row>
    <row r="49">
      <c r="A49" s="2" t="inlineStr">
        <is>
          <t>IRN-FUE-BAR-0005</t>
        </is>
      </c>
      <c r="B49" s="2" t="inlineStr">
        <is>
          <t>Rogue</t>
        </is>
      </c>
      <c r="C49" s="2" t="inlineStr">
        <is>
          <t>AR</t>
        </is>
      </c>
      <c r="D49" s="3" t="n">
        <v>73.56</v>
      </c>
      <c r="E49" s="3" t="n">
        <v>73.83</v>
      </c>
      <c r="F49" s="14">
        <f>(D49/E49)*100</f>
        <v/>
      </c>
      <c r="G49" s="2">
        <f>IF(F49&gt;115, "Overpriced", IF(F49&gt;=105, "Healthy Premium", IF(F49&gt;=95, "Competitive Parity", "Underpriced")))</f>
        <v/>
      </c>
    </row>
    <row r="50">
      <c r="A50" s="2" t="inlineStr">
        <is>
          <t>IRN-FUE-BAR-0006</t>
        </is>
      </c>
      <c r="B50" s="2" t="inlineStr">
        <is>
          <t>Rogue</t>
        </is>
      </c>
      <c r="C50" s="2" t="inlineStr">
        <is>
          <t>CL</t>
        </is>
      </c>
      <c r="D50" s="3" t="n">
        <v>208.05</v>
      </c>
      <c r="E50" s="3" t="n">
        <v>232.45</v>
      </c>
      <c r="F50" s="14">
        <f>(D50/E50)*100</f>
        <v/>
      </c>
      <c r="G50" s="2">
        <f>IF(F50&gt;115, "Overpriced", IF(F50&gt;=105, "Healthy Premium", IF(F50&gt;=95, "Competitive Parity", "Underpriced")))</f>
        <v/>
      </c>
    </row>
    <row r="51">
      <c r="A51" s="2" t="inlineStr">
        <is>
          <t>IRN-FUE-BAR-0006</t>
        </is>
      </c>
      <c r="B51" s="2" t="inlineStr">
        <is>
          <t>Rogue</t>
        </is>
      </c>
      <c r="C51" s="2" t="inlineStr">
        <is>
          <t>MX</t>
        </is>
      </c>
      <c r="D51" s="3" t="n">
        <v>208.05</v>
      </c>
      <c r="E51" s="3" t="n">
        <v>232.45</v>
      </c>
      <c r="F51" s="14">
        <f>(D51/E51)*100</f>
        <v/>
      </c>
      <c r="G51" s="2">
        <f>IF(F51&gt;115, "Overpriced", IF(F51&gt;=105, "Healthy Premium", IF(F51&gt;=95, "Competitive Parity", "Underpriced")))</f>
        <v/>
      </c>
    </row>
    <row r="52">
      <c r="A52" s="2" t="inlineStr">
        <is>
          <t>IRN-FUE-BAR-0006</t>
        </is>
      </c>
      <c r="B52" s="2" t="inlineStr">
        <is>
          <t>Rogue</t>
        </is>
      </c>
      <c r="C52" s="2" t="inlineStr">
        <is>
          <t>AR</t>
        </is>
      </c>
      <c r="D52" s="3" t="n">
        <v>208.05</v>
      </c>
      <c r="E52" s="3" t="n">
        <v>232.45</v>
      </c>
      <c r="F52" s="14">
        <f>(D52/E52)*100</f>
        <v/>
      </c>
      <c r="G52" s="2">
        <f>IF(F52&gt;115, "Overpriced", IF(F52&gt;=105, "Healthy Premium", IF(F52&gt;=95, "Competitive Parity", "Underpriced")))</f>
        <v/>
      </c>
    </row>
    <row r="53">
      <c r="A53" s="2" t="inlineStr">
        <is>
          <t>IRN-FUE-BAR-0006</t>
        </is>
      </c>
      <c r="B53" s="2" t="inlineStr">
        <is>
          <t>Tayga</t>
        </is>
      </c>
      <c r="C53" s="2" t="inlineStr">
        <is>
          <t>CL</t>
        </is>
      </c>
      <c r="D53" s="3" t="n">
        <v>208.05</v>
      </c>
      <c r="E53" s="3" t="n">
        <v>196.24</v>
      </c>
      <c r="F53" s="14">
        <f>(D53/E53)*100</f>
        <v/>
      </c>
      <c r="G53" s="2">
        <f>IF(F53&gt;115, "Overpriced", IF(F53&gt;=105, "Healthy Premium", IF(F53&gt;=95, "Competitive Parity", "Underpriced")))</f>
        <v/>
      </c>
    </row>
    <row r="54">
      <c r="A54" s="2" t="inlineStr">
        <is>
          <t>IRN-FUE-BAR-0006</t>
        </is>
      </c>
      <c r="B54" s="2" t="inlineStr">
        <is>
          <t>Tayga</t>
        </is>
      </c>
      <c r="C54" s="2" t="inlineStr">
        <is>
          <t>MX</t>
        </is>
      </c>
      <c r="D54" s="3" t="n">
        <v>208.05</v>
      </c>
      <c r="E54" s="3" t="n">
        <v>196.24</v>
      </c>
      <c r="F54" s="14">
        <f>(D54/E54)*100</f>
        <v/>
      </c>
      <c r="G54" s="2">
        <f>IF(F54&gt;115, "Overpriced", IF(F54&gt;=105, "Healthy Premium", IF(F54&gt;=95, "Competitive Parity", "Underpriced")))</f>
        <v/>
      </c>
    </row>
    <row r="55">
      <c r="A55" s="2" t="inlineStr">
        <is>
          <t>IRN-FUE-BAR-0006</t>
        </is>
      </c>
      <c r="B55" s="2" t="inlineStr">
        <is>
          <t>Tayga</t>
        </is>
      </c>
      <c r="C55" s="2" t="inlineStr">
        <is>
          <t>AR</t>
        </is>
      </c>
      <c r="D55" s="3" t="n">
        <v>208.05</v>
      </c>
      <c r="E55" s="3" t="n">
        <v>196.24</v>
      </c>
      <c r="F55" s="14">
        <f>(D55/E55)*100</f>
        <v/>
      </c>
      <c r="G55" s="2">
        <f>IF(F55&gt;115, "Overpriced", IF(F55&gt;=105, "Healthy Premium", IF(F55&gt;=95, "Competitive Parity", "Underpriced")))</f>
        <v/>
      </c>
    </row>
    <row r="56">
      <c r="A56" s="2" t="inlineStr">
        <is>
          <t>IRN-FUE-BAR-0006</t>
        </is>
      </c>
      <c r="B56" s="2" t="inlineStr">
        <is>
          <t>Spartan</t>
        </is>
      </c>
      <c r="C56" s="2" t="inlineStr">
        <is>
          <t>CL</t>
        </is>
      </c>
      <c r="D56" s="3" t="n">
        <v>208.05</v>
      </c>
      <c r="E56" s="3" t="n">
        <v>207.18</v>
      </c>
      <c r="F56" s="14">
        <f>(D56/E56)*100</f>
        <v/>
      </c>
      <c r="G56" s="2">
        <f>IF(F56&gt;115, "Overpriced", IF(F56&gt;=105, "Healthy Premium", IF(F56&gt;=95, "Competitive Parity", "Underpriced")))</f>
        <v/>
      </c>
    </row>
    <row r="57">
      <c r="A57" s="2" t="inlineStr">
        <is>
          <t>IRN-FUE-BAR-0006</t>
        </is>
      </c>
      <c r="B57" s="2" t="inlineStr">
        <is>
          <t>Spartan</t>
        </is>
      </c>
      <c r="C57" s="2" t="inlineStr">
        <is>
          <t>MX</t>
        </is>
      </c>
      <c r="D57" s="3" t="n">
        <v>208.05</v>
      </c>
      <c r="E57" s="3" t="n">
        <v>207.18</v>
      </c>
      <c r="F57" s="14">
        <f>(D57/E57)*100</f>
        <v/>
      </c>
      <c r="G57" s="2">
        <f>IF(F57&gt;115, "Overpriced", IF(F57&gt;=105, "Healthy Premium", IF(F57&gt;=95, "Competitive Parity", "Underpriced")))</f>
        <v/>
      </c>
    </row>
    <row r="58">
      <c r="A58" s="2" t="inlineStr">
        <is>
          <t>IRN-FUE-BAR-0006</t>
        </is>
      </c>
      <c r="B58" s="2" t="inlineStr">
        <is>
          <t>Spartan</t>
        </is>
      </c>
      <c r="C58" s="2" t="inlineStr">
        <is>
          <t>AR</t>
        </is>
      </c>
      <c r="D58" s="3" t="n">
        <v>208.05</v>
      </c>
      <c r="E58" s="3" t="n">
        <v>207.18</v>
      </c>
      <c r="F58" s="14">
        <f>(D58/E58)*100</f>
        <v/>
      </c>
      <c r="G58" s="2">
        <f>IF(F58&gt;115, "Overpriced", IF(F58&gt;=105, "Healthy Premium", IF(F58&gt;=95, "Competitive Parity", "Underpriced")))</f>
        <v/>
      </c>
    </row>
    <row r="59">
      <c r="A59" s="2" t="inlineStr">
        <is>
          <t>IRN-FUE-DIS-0007</t>
        </is>
      </c>
      <c r="B59" s="2" t="inlineStr">
        <is>
          <t>Spartan</t>
        </is>
      </c>
      <c r="C59" s="2" t="inlineStr">
        <is>
          <t>CL</t>
        </is>
      </c>
      <c r="D59" s="3" t="n">
        <v>154.6</v>
      </c>
      <c r="E59" s="3" t="n">
        <v>161.39</v>
      </c>
      <c r="F59" s="14">
        <f>(D59/E59)*100</f>
        <v/>
      </c>
      <c r="G59" s="2">
        <f>IF(F59&gt;115, "Overpriced", IF(F59&gt;=105, "Healthy Premium", IF(F59&gt;=95, "Competitive Parity", "Underpriced")))</f>
        <v/>
      </c>
    </row>
    <row r="60">
      <c r="A60" s="2" t="inlineStr">
        <is>
          <t>IRN-FUE-DIS-0007</t>
        </is>
      </c>
      <c r="B60" s="2" t="inlineStr">
        <is>
          <t>Spartan</t>
        </is>
      </c>
      <c r="C60" s="2" t="inlineStr">
        <is>
          <t>MX</t>
        </is>
      </c>
      <c r="D60" s="3" t="n">
        <v>154.6</v>
      </c>
      <c r="E60" s="3" t="n">
        <v>161.39</v>
      </c>
      <c r="F60" s="14">
        <f>(D60/E60)*100</f>
        <v/>
      </c>
      <c r="G60" s="2">
        <f>IF(F60&gt;115, "Overpriced", IF(F60&gt;=105, "Healthy Premium", IF(F60&gt;=95, "Competitive Parity", "Underpriced")))</f>
        <v/>
      </c>
    </row>
    <row r="61">
      <c r="A61" s="2" t="inlineStr">
        <is>
          <t>IRN-FUE-DIS-0007</t>
        </is>
      </c>
      <c r="B61" s="2" t="inlineStr">
        <is>
          <t>Spartan</t>
        </is>
      </c>
      <c r="C61" s="2" t="inlineStr">
        <is>
          <t>AR</t>
        </is>
      </c>
      <c r="D61" s="3" t="n">
        <v>154.6</v>
      </c>
      <c r="E61" s="3" t="n">
        <v>161.39</v>
      </c>
      <c r="F61" s="14">
        <f>(D61/E61)*100</f>
        <v/>
      </c>
      <c r="G61" s="2">
        <f>IF(F61&gt;115, "Overpriced", IF(F61&gt;=105, "Healthy Premium", IF(F61&gt;=95, "Competitive Parity", "Underpriced")))</f>
        <v/>
      </c>
    </row>
    <row r="62">
      <c r="A62" s="2" t="inlineStr">
        <is>
          <t>IRN-FUE-DIS-0007</t>
        </is>
      </c>
      <c r="B62" s="2" t="inlineStr">
        <is>
          <t>SDmed</t>
        </is>
      </c>
      <c r="C62" s="2" t="inlineStr">
        <is>
          <t>CL</t>
        </is>
      </c>
      <c r="D62" s="3" t="n">
        <v>154.6</v>
      </c>
      <c r="E62" s="3" t="n">
        <v>134.13</v>
      </c>
      <c r="F62" s="14">
        <f>(D62/E62)*100</f>
        <v/>
      </c>
      <c r="G62" s="2">
        <f>IF(F62&gt;115, "Overpriced", IF(F62&gt;=105, "Healthy Premium", IF(F62&gt;=95, "Competitive Parity", "Underpriced")))</f>
        <v/>
      </c>
    </row>
    <row r="63">
      <c r="A63" s="2" t="inlineStr">
        <is>
          <t>IRN-FUE-DIS-0007</t>
        </is>
      </c>
      <c r="B63" s="2" t="inlineStr">
        <is>
          <t>SDmed</t>
        </is>
      </c>
      <c r="C63" s="2" t="inlineStr">
        <is>
          <t>MX</t>
        </is>
      </c>
      <c r="D63" s="3" t="n">
        <v>154.6</v>
      </c>
      <c r="E63" s="3" t="n">
        <v>134.13</v>
      </c>
      <c r="F63" s="14">
        <f>(D63/E63)*100</f>
        <v/>
      </c>
      <c r="G63" s="2">
        <f>IF(F63&gt;115, "Overpriced", IF(F63&gt;=105, "Healthy Premium", IF(F63&gt;=95, "Competitive Parity", "Underpriced")))</f>
        <v/>
      </c>
    </row>
    <row r="64">
      <c r="A64" s="2" t="inlineStr">
        <is>
          <t>IRN-FUE-DIS-0007</t>
        </is>
      </c>
      <c r="B64" s="2" t="inlineStr">
        <is>
          <t>SDmed</t>
        </is>
      </c>
      <c r="C64" s="2" t="inlineStr">
        <is>
          <t>AR</t>
        </is>
      </c>
      <c r="D64" s="3" t="n">
        <v>154.6</v>
      </c>
      <c r="E64" s="3" t="n">
        <v>134.13</v>
      </c>
      <c r="F64" s="14">
        <f>(D64/E64)*100</f>
        <v/>
      </c>
      <c r="G64" s="2">
        <f>IF(F64&gt;115, "Overpriced", IF(F64&gt;=105, "Healthy Premium", IF(F64&gt;=95, "Competitive Parity", "Underpriced")))</f>
        <v/>
      </c>
    </row>
    <row r="65">
      <c r="A65" s="2" t="inlineStr">
        <is>
          <t>IRN-FUE-DIS-0007</t>
        </is>
      </c>
      <c r="B65" s="2" t="inlineStr">
        <is>
          <t>Tayga</t>
        </is>
      </c>
      <c r="C65" s="2" t="inlineStr">
        <is>
          <t>CL</t>
        </is>
      </c>
      <c r="D65" s="3" t="n">
        <v>154.6</v>
      </c>
      <c r="E65" s="3" t="n">
        <v>140.46</v>
      </c>
      <c r="F65" s="14">
        <f>(D65/E65)*100</f>
        <v/>
      </c>
      <c r="G65" s="2">
        <f>IF(F65&gt;115, "Overpriced", IF(F65&gt;=105, "Healthy Premium", IF(F65&gt;=95, "Competitive Parity", "Underpriced")))</f>
        <v/>
      </c>
    </row>
    <row r="66">
      <c r="A66" s="2" t="inlineStr">
        <is>
          <t>IRN-FUE-DIS-0007</t>
        </is>
      </c>
      <c r="B66" s="2" t="inlineStr">
        <is>
          <t>Tayga</t>
        </is>
      </c>
      <c r="C66" s="2" t="inlineStr">
        <is>
          <t>MX</t>
        </is>
      </c>
      <c r="D66" s="3" t="n">
        <v>154.6</v>
      </c>
      <c r="E66" s="3" t="n">
        <v>140.46</v>
      </c>
      <c r="F66" s="14">
        <f>(D66/E66)*100</f>
        <v/>
      </c>
      <c r="G66" s="2">
        <f>IF(F66&gt;115, "Overpriced", IF(F66&gt;=105, "Healthy Premium", IF(F66&gt;=95, "Competitive Parity", "Underpriced")))</f>
        <v/>
      </c>
    </row>
    <row r="67">
      <c r="A67" s="2" t="inlineStr">
        <is>
          <t>IRN-FUE-DIS-0007</t>
        </is>
      </c>
      <c r="B67" s="2" t="inlineStr">
        <is>
          <t>Tayga</t>
        </is>
      </c>
      <c r="C67" s="2" t="inlineStr">
        <is>
          <t>AR</t>
        </is>
      </c>
      <c r="D67" s="3" t="n">
        <v>154.6</v>
      </c>
      <c r="E67" s="3" t="n">
        <v>140.46</v>
      </c>
      <c r="F67" s="14">
        <f>(D67/E67)*100</f>
        <v/>
      </c>
      <c r="G67" s="2">
        <f>IF(F67&gt;115, "Overpriced", IF(F67&gt;=105, "Healthy Premium", IF(F67&gt;=95, "Competitive Parity", "Underpriced")))</f>
        <v/>
      </c>
    </row>
    <row r="68">
      <c r="A68" s="2" t="inlineStr">
        <is>
          <t>IRN-FUE-DIS-0008</t>
        </is>
      </c>
      <c r="B68" s="2" t="inlineStr">
        <is>
          <t>Tayga</t>
        </is>
      </c>
      <c r="C68" s="2" t="inlineStr">
        <is>
          <t>CL</t>
        </is>
      </c>
      <c r="D68" s="3" t="n">
        <v>127.93</v>
      </c>
      <c r="E68" s="3" t="n">
        <v>113.69</v>
      </c>
      <c r="F68" s="14">
        <f>(D68/E68)*100</f>
        <v/>
      </c>
      <c r="G68" s="2">
        <f>IF(F68&gt;115, "Overpriced", IF(F68&gt;=105, "Healthy Premium", IF(F68&gt;=95, "Competitive Parity", "Underpriced")))</f>
        <v/>
      </c>
    </row>
    <row r="69">
      <c r="A69" s="2" t="inlineStr">
        <is>
          <t>IRN-FUE-DIS-0008</t>
        </is>
      </c>
      <c r="B69" s="2" t="inlineStr">
        <is>
          <t>Tayga</t>
        </is>
      </c>
      <c r="C69" s="2" t="inlineStr">
        <is>
          <t>MX</t>
        </is>
      </c>
      <c r="D69" s="3" t="n">
        <v>127.93</v>
      </c>
      <c r="E69" s="3" t="n">
        <v>113.69</v>
      </c>
      <c r="F69" s="14">
        <f>(D69/E69)*100</f>
        <v/>
      </c>
      <c r="G69" s="2">
        <f>IF(F69&gt;115, "Overpriced", IF(F69&gt;=105, "Healthy Premium", IF(F69&gt;=95, "Competitive Parity", "Underpriced")))</f>
        <v/>
      </c>
    </row>
    <row r="70">
      <c r="A70" s="2" t="inlineStr">
        <is>
          <t>IRN-FUE-DIS-0008</t>
        </is>
      </c>
      <c r="B70" s="2" t="inlineStr">
        <is>
          <t>Tayga</t>
        </is>
      </c>
      <c r="C70" s="2" t="inlineStr">
        <is>
          <t>AR</t>
        </is>
      </c>
      <c r="D70" s="3" t="n">
        <v>127.93</v>
      </c>
      <c r="E70" s="3" t="n">
        <v>113.69</v>
      </c>
      <c r="F70" s="14">
        <f>(D70/E70)*100</f>
        <v/>
      </c>
      <c r="G70" s="2">
        <f>IF(F70&gt;115, "Overpriced", IF(F70&gt;=105, "Healthy Premium", IF(F70&gt;=95, "Competitive Parity", "Underpriced")))</f>
        <v/>
      </c>
    </row>
    <row r="71">
      <c r="A71" s="2" t="inlineStr">
        <is>
          <t>IRN-FUE-DIS-0008</t>
        </is>
      </c>
      <c r="B71" s="2" t="inlineStr">
        <is>
          <t>SDmed</t>
        </is>
      </c>
      <c r="C71" s="2" t="inlineStr">
        <is>
          <t>CL</t>
        </is>
      </c>
      <c r="D71" s="3" t="n">
        <v>127.93</v>
      </c>
      <c r="E71" s="3" t="n">
        <v>122.04</v>
      </c>
      <c r="F71" s="14">
        <f>(D71/E71)*100</f>
        <v/>
      </c>
      <c r="G71" s="2">
        <f>IF(F71&gt;115, "Overpriced", IF(F71&gt;=105, "Healthy Premium", IF(F71&gt;=95, "Competitive Parity", "Underpriced")))</f>
        <v/>
      </c>
    </row>
    <row r="72">
      <c r="A72" s="2" t="inlineStr">
        <is>
          <t>IRN-FUE-DIS-0008</t>
        </is>
      </c>
      <c r="B72" s="2" t="inlineStr">
        <is>
          <t>SDmed</t>
        </is>
      </c>
      <c r="C72" s="2" t="inlineStr">
        <is>
          <t>MX</t>
        </is>
      </c>
      <c r="D72" s="3" t="n">
        <v>127.93</v>
      </c>
      <c r="E72" s="3" t="n">
        <v>122.04</v>
      </c>
      <c r="F72" s="14">
        <f>(D72/E72)*100</f>
        <v/>
      </c>
      <c r="G72" s="2">
        <f>IF(F72&gt;115, "Overpriced", IF(F72&gt;=105, "Healthy Premium", IF(F72&gt;=95, "Competitive Parity", "Underpriced")))</f>
        <v/>
      </c>
    </row>
    <row r="73">
      <c r="A73" s="2" t="inlineStr">
        <is>
          <t>IRN-FUE-DIS-0008</t>
        </is>
      </c>
      <c r="B73" s="2" t="inlineStr">
        <is>
          <t>SDmed</t>
        </is>
      </c>
      <c r="C73" s="2" t="inlineStr">
        <is>
          <t>AR</t>
        </is>
      </c>
      <c r="D73" s="3" t="n">
        <v>127.93</v>
      </c>
      <c r="E73" s="3" t="n">
        <v>122.04</v>
      </c>
      <c r="F73" s="14">
        <f>(D73/E73)*100</f>
        <v/>
      </c>
      <c r="G73" s="2">
        <f>IF(F73&gt;115, "Overpriced", IF(F73&gt;=105, "Healthy Premium", IF(F73&gt;=95, "Competitive Parity", "Underpriced")))</f>
        <v/>
      </c>
    </row>
    <row r="74">
      <c r="A74" s="2" t="inlineStr">
        <is>
          <t>IRN-FUE-DIS-0008</t>
        </is>
      </c>
      <c r="B74" s="2" t="inlineStr">
        <is>
          <t>Spartan</t>
        </is>
      </c>
      <c r="C74" s="2" t="inlineStr">
        <is>
          <t>CL</t>
        </is>
      </c>
      <c r="D74" s="3" t="n">
        <v>127.93</v>
      </c>
      <c r="E74" s="3" t="n">
        <v>111.98</v>
      </c>
      <c r="F74" s="14">
        <f>(D74/E74)*100</f>
        <v/>
      </c>
      <c r="G74" s="2">
        <f>IF(F74&gt;115, "Overpriced", IF(F74&gt;=105, "Healthy Premium", IF(F74&gt;=95, "Competitive Parity", "Underpriced")))</f>
        <v/>
      </c>
    </row>
    <row r="75">
      <c r="A75" s="2" t="inlineStr">
        <is>
          <t>IRN-FUE-DIS-0008</t>
        </is>
      </c>
      <c r="B75" s="2" t="inlineStr">
        <is>
          <t>Spartan</t>
        </is>
      </c>
      <c r="C75" s="2" t="inlineStr">
        <is>
          <t>MX</t>
        </is>
      </c>
      <c r="D75" s="3" t="n">
        <v>127.93</v>
      </c>
      <c r="E75" s="3" t="n">
        <v>111.98</v>
      </c>
      <c r="F75" s="14">
        <f>(D75/E75)*100</f>
        <v/>
      </c>
      <c r="G75" s="2">
        <f>IF(F75&gt;115, "Overpriced", IF(F75&gt;=105, "Healthy Premium", IF(F75&gt;=95, "Competitive Parity", "Underpriced")))</f>
        <v/>
      </c>
    </row>
    <row r="76">
      <c r="A76" s="2" t="inlineStr">
        <is>
          <t>IRN-FUE-DIS-0008</t>
        </is>
      </c>
      <c r="B76" s="2" t="inlineStr">
        <is>
          <t>Spartan</t>
        </is>
      </c>
      <c r="C76" s="2" t="inlineStr">
        <is>
          <t>AR</t>
        </is>
      </c>
      <c r="D76" s="3" t="n">
        <v>127.93</v>
      </c>
      <c r="E76" s="3" t="n">
        <v>111.98</v>
      </c>
      <c r="F76" s="14">
        <f>(D76/E76)*100</f>
        <v/>
      </c>
      <c r="G76" s="2">
        <f>IF(F76&gt;115, "Overpriced", IF(F76&gt;=105, "Healthy Premium", IF(F76&gt;=95, "Competitive Parity", "Underpriced")))</f>
        <v/>
      </c>
    </row>
    <row r="77">
      <c r="A77" s="2" t="inlineStr">
        <is>
          <t>IRN-FUE-DIS-0009</t>
        </is>
      </c>
      <c r="B77" s="2" t="inlineStr">
        <is>
          <t>Spartan</t>
        </is>
      </c>
      <c r="C77" s="2" t="inlineStr">
        <is>
          <t>CL</t>
        </is>
      </c>
      <c r="D77" s="3" t="n">
        <v>167.2</v>
      </c>
      <c r="E77" s="3" t="n">
        <v>172.24</v>
      </c>
      <c r="F77" s="14">
        <f>(D77/E77)*100</f>
        <v/>
      </c>
      <c r="G77" s="2">
        <f>IF(F77&gt;115, "Overpriced", IF(F77&gt;=105, "Healthy Premium", IF(F77&gt;=95, "Competitive Parity", "Underpriced")))</f>
        <v/>
      </c>
    </row>
    <row r="78">
      <c r="A78" s="2" t="inlineStr">
        <is>
          <t>IRN-FUE-DIS-0009</t>
        </is>
      </c>
      <c r="B78" s="2" t="inlineStr">
        <is>
          <t>Spartan</t>
        </is>
      </c>
      <c r="C78" s="2" t="inlineStr">
        <is>
          <t>MX</t>
        </is>
      </c>
      <c r="D78" s="3" t="n">
        <v>167.2</v>
      </c>
      <c r="E78" s="3" t="n">
        <v>172.24</v>
      </c>
      <c r="F78" s="14">
        <f>(D78/E78)*100</f>
        <v/>
      </c>
      <c r="G78" s="2">
        <f>IF(F78&gt;115, "Overpriced", IF(F78&gt;=105, "Healthy Premium", IF(F78&gt;=95, "Competitive Parity", "Underpriced")))</f>
        <v/>
      </c>
    </row>
    <row r="79">
      <c r="A79" s="2" t="inlineStr">
        <is>
          <t>IRN-FUE-DIS-0009</t>
        </is>
      </c>
      <c r="B79" s="2" t="inlineStr">
        <is>
          <t>Spartan</t>
        </is>
      </c>
      <c r="C79" s="2" t="inlineStr">
        <is>
          <t>AR</t>
        </is>
      </c>
      <c r="D79" s="3" t="n">
        <v>167.2</v>
      </c>
      <c r="E79" s="3" t="n">
        <v>172.24</v>
      </c>
      <c r="F79" s="14">
        <f>(D79/E79)*100</f>
        <v/>
      </c>
      <c r="G79" s="2">
        <f>IF(F79&gt;115, "Overpriced", IF(F79&gt;=105, "Healthy Premium", IF(F79&gt;=95, "Competitive Parity", "Underpriced")))</f>
        <v/>
      </c>
    </row>
    <row r="80">
      <c r="A80" s="2" t="inlineStr">
        <is>
          <t>IRN-FUE-DIS-0009</t>
        </is>
      </c>
      <c r="B80" s="2" t="inlineStr">
        <is>
          <t>Tayga</t>
        </is>
      </c>
      <c r="C80" s="2" t="inlineStr">
        <is>
          <t>CL</t>
        </is>
      </c>
      <c r="D80" s="3" t="n">
        <v>167.2</v>
      </c>
      <c r="E80" s="3" t="n">
        <v>143.68</v>
      </c>
      <c r="F80" s="14">
        <f>(D80/E80)*100</f>
        <v/>
      </c>
      <c r="G80" s="2">
        <f>IF(F80&gt;115, "Overpriced", IF(F80&gt;=105, "Healthy Premium", IF(F80&gt;=95, "Competitive Parity", "Underpriced")))</f>
        <v/>
      </c>
    </row>
    <row r="81">
      <c r="A81" s="2" t="inlineStr">
        <is>
          <t>IRN-FUE-DIS-0009</t>
        </is>
      </c>
      <c r="B81" s="2" t="inlineStr">
        <is>
          <t>Tayga</t>
        </is>
      </c>
      <c r="C81" s="2" t="inlineStr">
        <is>
          <t>MX</t>
        </is>
      </c>
      <c r="D81" s="3" t="n">
        <v>167.2</v>
      </c>
      <c r="E81" s="3" t="n">
        <v>143.68</v>
      </c>
      <c r="F81" s="14">
        <f>(D81/E81)*100</f>
        <v/>
      </c>
      <c r="G81" s="2">
        <f>IF(F81&gt;115, "Overpriced", IF(F81&gt;=105, "Healthy Premium", IF(F81&gt;=95, "Competitive Parity", "Underpriced")))</f>
        <v/>
      </c>
    </row>
    <row r="82">
      <c r="A82" s="2" t="inlineStr">
        <is>
          <t>IRN-FUE-DIS-0009</t>
        </is>
      </c>
      <c r="B82" s="2" t="inlineStr">
        <is>
          <t>Tayga</t>
        </is>
      </c>
      <c r="C82" s="2" t="inlineStr">
        <is>
          <t>AR</t>
        </is>
      </c>
      <c r="D82" s="3" t="n">
        <v>167.2</v>
      </c>
      <c r="E82" s="3" t="n">
        <v>143.68</v>
      </c>
      <c r="F82" s="14">
        <f>(D82/E82)*100</f>
        <v/>
      </c>
      <c r="G82" s="2">
        <f>IF(F82&gt;115, "Overpriced", IF(F82&gt;=105, "Healthy Premium", IF(F82&gt;=95, "Competitive Parity", "Underpriced")))</f>
        <v/>
      </c>
    </row>
    <row r="83">
      <c r="A83" s="2" t="inlineStr">
        <is>
          <t>IRN-FUE-DIS-0009</t>
        </is>
      </c>
      <c r="B83" s="2" t="inlineStr">
        <is>
          <t>Rogue</t>
        </is>
      </c>
      <c r="C83" s="2" t="inlineStr">
        <is>
          <t>CL</t>
        </is>
      </c>
      <c r="D83" s="3" t="n">
        <v>167.2</v>
      </c>
      <c r="E83" s="3" t="n">
        <v>201.83</v>
      </c>
      <c r="F83" s="14">
        <f>(D83/E83)*100</f>
        <v/>
      </c>
      <c r="G83" s="2">
        <f>IF(F83&gt;115, "Overpriced", IF(F83&gt;=105, "Healthy Premium", IF(F83&gt;=95, "Competitive Parity", "Underpriced")))</f>
        <v/>
      </c>
    </row>
    <row r="84">
      <c r="A84" s="2" t="inlineStr">
        <is>
          <t>IRN-FUE-DIS-0009</t>
        </is>
      </c>
      <c r="B84" s="2" t="inlineStr">
        <is>
          <t>Rogue</t>
        </is>
      </c>
      <c r="C84" s="2" t="inlineStr">
        <is>
          <t>MX</t>
        </is>
      </c>
      <c r="D84" s="3" t="n">
        <v>167.2</v>
      </c>
      <c r="E84" s="3" t="n">
        <v>201.83</v>
      </c>
      <c r="F84" s="14">
        <f>(D84/E84)*100</f>
        <v/>
      </c>
      <c r="G84" s="2">
        <f>IF(F84&gt;115, "Overpriced", IF(F84&gt;=105, "Healthy Premium", IF(F84&gt;=95, "Competitive Parity", "Underpriced")))</f>
        <v/>
      </c>
    </row>
    <row r="85">
      <c r="A85" s="2" t="inlineStr">
        <is>
          <t>IRN-FUE-DIS-0009</t>
        </is>
      </c>
      <c r="B85" s="2" t="inlineStr">
        <is>
          <t>Rogue</t>
        </is>
      </c>
      <c r="C85" s="2" t="inlineStr">
        <is>
          <t>AR</t>
        </is>
      </c>
      <c r="D85" s="3" t="n">
        <v>167.2</v>
      </c>
      <c r="E85" s="3" t="n">
        <v>201.83</v>
      </c>
      <c r="F85" s="14">
        <f>(D85/E85)*100</f>
        <v/>
      </c>
      <c r="G85" s="2">
        <f>IF(F85&gt;115, "Overpriced", IF(F85&gt;=105, "Healthy Premium", IF(F85&gt;=95, "Competitive Parity", "Underpriced")))</f>
        <v/>
      </c>
    </row>
    <row r="86">
      <c r="A86" s="2" t="inlineStr">
        <is>
          <t>IRN-FUE-DIS-0010</t>
        </is>
      </c>
      <c r="B86" s="2" t="inlineStr">
        <is>
          <t>Rogue</t>
        </is>
      </c>
      <c r="C86" s="2" t="inlineStr">
        <is>
          <t>CL</t>
        </is>
      </c>
      <c r="D86" s="3" t="n">
        <v>73.5</v>
      </c>
      <c r="E86" s="3" t="n">
        <v>83.63</v>
      </c>
      <c r="F86" s="14">
        <f>(D86/E86)*100</f>
        <v/>
      </c>
      <c r="G86" s="2">
        <f>IF(F86&gt;115, "Overpriced", IF(F86&gt;=105, "Healthy Premium", IF(F86&gt;=95, "Competitive Parity", "Underpriced")))</f>
        <v/>
      </c>
    </row>
    <row r="87">
      <c r="A87" s="2" t="inlineStr">
        <is>
          <t>IRN-FUE-DIS-0010</t>
        </is>
      </c>
      <c r="B87" s="2" t="inlineStr">
        <is>
          <t>Rogue</t>
        </is>
      </c>
      <c r="C87" s="2" t="inlineStr">
        <is>
          <t>MX</t>
        </is>
      </c>
      <c r="D87" s="3" t="n">
        <v>73.5</v>
      </c>
      <c r="E87" s="3" t="n">
        <v>83.63</v>
      </c>
      <c r="F87" s="14">
        <f>(D87/E87)*100</f>
        <v/>
      </c>
      <c r="G87" s="2">
        <f>IF(F87&gt;115, "Overpriced", IF(F87&gt;=105, "Healthy Premium", IF(F87&gt;=95, "Competitive Parity", "Underpriced")))</f>
        <v/>
      </c>
    </row>
    <row r="88">
      <c r="A88" s="2" t="inlineStr">
        <is>
          <t>IRN-FUE-DIS-0010</t>
        </is>
      </c>
      <c r="B88" s="2" t="inlineStr">
        <is>
          <t>Rogue</t>
        </is>
      </c>
      <c r="C88" s="2" t="inlineStr">
        <is>
          <t>AR</t>
        </is>
      </c>
      <c r="D88" s="3" t="n">
        <v>73.5</v>
      </c>
      <c r="E88" s="3" t="n">
        <v>83.63</v>
      </c>
      <c r="F88" s="14">
        <f>(D88/E88)*100</f>
        <v/>
      </c>
      <c r="G88" s="2">
        <f>IF(F88&gt;115, "Overpriced", IF(F88&gt;=105, "Healthy Premium", IF(F88&gt;=95, "Competitive Parity", "Underpriced")))</f>
        <v/>
      </c>
    </row>
    <row r="89">
      <c r="A89" s="2" t="inlineStr">
        <is>
          <t>IRN-FUE-DIS-0010</t>
        </is>
      </c>
      <c r="B89" s="2" t="inlineStr">
        <is>
          <t>Tayga</t>
        </is>
      </c>
      <c r="C89" s="2" t="inlineStr">
        <is>
          <t>CL</t>
        </is>
      </c>
      <c r="D89" s="3" t="n">
        <v>73.5</v>
      </c>
      <c r="E89" s="3" t="n">
        <v>68.11</v>
      </c>
      <c r="F89" s="14">
        <f>(D89/E89)*100</f>
        <v/>
      </c>
      <c r="G89" s="2">
        <f>IF(F89&gt;115, "Overpriced", IF(F89&gt;=105, "Healthy Premium", IF(F89&gt;=95, "Competitive Parity", "Underpriced")))</f>
        <v/>
      </c>
    </row>
    <row r="90">
      <c r="A90" s="2" t="inlineStr">
        <is>
          <t>IRN-FUE-DIS-0010</t>
        </is>
      </c>
      <c r="B90" s="2" t="inlineStr">
        <is>
          <t>Tayga</t>
        </is>
      </c>
      <c r="C90" s="2" t="inlineStr">
        <is>
          <t>MX</t>
        </is>
      </c>
      <c r="D90" s="3" t="n">
        <v>73.5</v>
      </c>
      <c r="E90" s="3" t="n">
        <v>68.11</v>
      </c>
      <c r="F90" s="14">
        <f>(D90/E90)*100</f>
        <v/>
      </c>
      <c r="G90" s="2">
        <f>IF(F90&gt;115, "Overpriced", IF(F90&gt;=105, "Healthy Premium", IF(F90&gt;=95, "Competitive Parity", "Underpriced")))</f>
        <v/>
      </c>
    </row>
    <row r="91">
      <c r="A91" s="2" t="inlineStr">
        <is>
          <t>IRN-FUE-DIS-0010</t>
        </is>
      </c>
      <c r="B91" s="2" t="inlineStr">
        <is>
          <t>Tayga</t>
        </is>
      </c>
      <c r="C91" s="2" t="inlineStr">
        <is>
          <t>AR</t>
        </is>
      </c>
      <c r="D91" s="3" t="n">
        <v>73.5</v>
      </c>
      <c r="E91" s="3" t="n">
        <v>68.11</v>
      </c>
      <c r="F91" s="14">
        <f>(D91/E91)*100</f>
        <v/>
      </c>
      <c r="G91" s="2">
        <f>IF(F91&gt;115, "Overpriced", IF(F91&gt;=105, "Healthy Premium", IF(F91&gt;=95, "Competitive Parity", "Underpriced")))</f>
        <v/>
      </c>
    </row>
    <row r="92">
      <c r="A92" s="2" t="inlineStr">
        <is>
          <t>IRN-FUE-DIS-0011</t>
        </is>
      </c>
      <c r="B92" s="2" t="inlineStr">
        <is>
          <t>Rogue</t>
        </is>
      </c>
      <c r="C92" s="2" t="inlineStr">
        <is>
          <t>CL</t>
        </is>
      </c>
      <c r="D92" s="3" t="n">
        <v>63.03</v>
      </c>
      <c r="E92" s="3" t="n">
        <v>80.22</v>
      </c>
      <c r="F92" s="14">
        <f>(D92/E92)*100</f>
        <v/>
      </c>
      <c r="G92" s="2">
        <f>IF(F92&gt;115, "Overpriced", IF(F92&gt;=105, "Healthy Premium", IF(F92&gt;=95, "Competitive Parity", "Underpriced")))</f>
        <v/>
      </c>
    </row>
    <row r="93">
      <c r="A93" s="2" t="inlineStr">
        <is>
          <t>IRN-FUE-DIS-0011</t>
        </is>
      </c>
      <c r="B93" s="2" t="inlineStr">
        <is>
          <t>Rogue</t>
        </is>
      </c>
      <c r="C93" s="2" t="inlineStr">
        <is>
          <t>MX</t>
        </is>
      </c>
      <c r="D93" s="3" t="n">
        <v>63.03</v>
      </c>
      <c r="E93" s="3" t="n">
        <v>80.22</v>
      </c>
      <c r="F93" s="14">
        <f>(D93/E93)*100</f>
        <v/>
      </c>
      <c r="G93" s="2">
        <f>IF(F93&gt;115, "Overpriced", IF(F93&gt;=105, "Healthy Premium", IF(F93&gt;=95, "Competitive Parity", "Underpriced")))</f>
        <v/>
      </c>
    </row>
    <row r="94">
      <c r="A94" s="2" t="inlineStr">
        <is>
          <t>IRN-FUE-DIS-0011</t>
        </is>
      </c>
      <c r="B94" s="2" t="inlineStr">
        <is>
          <t>Rogue</t>
        </is>
      </c>
      <c r="C94" s="2" t="inlineStr">
        <is>
          <t>AR</t>
        </is>
      </c>
      <c r="D94" s="3" t="n">
        <v>63.03</v>
      </c>
      <c r="E94" s="3" t="n">
        <v>80.22</v>
      </c>
      <c r="F94" s="14">
        <f>(D94/E94)*100</f>
        <v/>
      </c>
      <c r="G94" s="2">
        <f>IF(F94&gt;115, "Overpriced", IF(F94&gt;=105, "Healthy Premium", IF(F94&gt;=95, "Competitive Parity", "Underpriced")))</f>
        <v/>
      </c>
    </row>
    <row r="95">
      <c r="A95" s="2" t="inlineStr">
        <is>
          <t>IRN-FUE-DIS-0011</t>
        </is>
      </c>
      <c r="B95" s="2" t="inlineStr">
        <is>
          <t>Spartan</t>
        </is>
      </c>
      <c r="C95" s="2" t="inlineStr">
        <is>
          <t>CL</t>
        </is>
      </c>
      <c r="D95" s="3" t="n">
        <v>63.03</v>
      </c>
      <c r="E95" s="3" t="n">
        <v>64.86</v>
      </c>
      <c r="F95" s="14">
        <f>(D95/E95)*100</f>
        <v/>
      </c>
      <c r="G95" s="2">
        <f>IF(F95&gt;115, "Overpriced", IF(F95&gt;=105, "Healthy Premium", IF(F95&gt;=95, "Competitive Parity", "Underpriced")))</f>
        <v/>
      </c>
    </row>
    <row r="96">
      <c r="A96" s="2" t="inlineStr">
        <is>
          <t>IRN-FUE-DIS-0011</t>
        </is>
      </c>
      <c r="B96" s="2" t="inlineStr">
        <is>
          <t>Spartan</t>
        </is>
      </c>
      <c r="C96" s="2" t="inlineStr">
        <is>
          <t>MX</t>
        </is>
      </c>
      <c r="D96" s="3" t="n">
        <v>63.03</v>
      </c>
      <c r="E96" s="3" t="n">
        <v>64.86</v>
      </c>
      <c r="F96" s="14">
        <f>(D96/E96)*100</f>
        <v/>
      </c>
      <c r="G96" s="2">
        <f>IF(F96&gt;115, "Overpriced", IF(F96&gt;=105, "Healthy Premium", IF(F96&gt;=95, "Competitive Parity", "Underpriced")))</f>
        <v/>
      </c>
    </row>
    <row r="97">
      <c r="A97" s="2" t="inlineStr">
        <is>
          <t>IRN-FUE-DIS-0011</t>
        </is>
      </c>
      <c r="B97" s="2" t="inlineStr">
        <is>
          <t>Spartan</t>
        </is>
      </c>
      <c r="C97" s="2" t="inlineStr">
        <is>
          <t>AR</t>
        </is>
      </c>
      <c r="D97" s="3" t="n">
        <v>63.03</v>
      </c>
      <c r="E97" s="3" t="n">
        <v>64.86</v>
      </c>
      <c r="F97" s="14">
        <f>(D97/E97)*100</f>
        <v/>
      </c>
      <c r="G97" s="2">
        <f>IF(F97&gt;115, "Overpriced", IF(F97&gt;=105, "Healthy Premium", IF(F97&gt;=95, "Competitive Parity", "Underpriced")))</f>
        <v/>
      </c>
    </row>
    <row r="98">
      <c r="A98" s="2" t="inlineStr">
        <is>
          <t>IRN-FUE-DIS-0011</t>
        </is>
      </c>
      <c r="B98" s="2" t="inlineStr">
        <is>
          <t>Tayga</t>
        </is>
      </c>
      <c r="C98" s="2" t="inlineStr">
        <is>
          <t>CL</t>
        </is>
      </c>
      <c r="D98" s="3" t="n">
        <v>63.03</v>
      </c>
      <c r="E98" s="3" t="n">
        <v>51.72</v>
      </c>
      <c r="F98" s="14">
        <f>(D98/E98)*100</f>
        <v/>
      </c>
      <c r="G98" s="2">
        <f>IF(F98&gt;115, "Overpriced", IF(F98&gt;=105, "Healthy Premium", IF(F98&gt;=95, "Competitive Parity", "Underpriced")))</f>
        <v/>
      </c>
    </row>
    <row r="99">
      <c r="A99" s="2" t="inlineStr">
        <is>
          <t>IRN-FUE-DIS-0011</t>
        </is>
      </c>
      <c r="B99" s="2" t="inlineStr">
        <is>
          <t>Tayga</t>
        </is>
      </c>
      <c r="C99" s="2" t="inlineStr">
        <is>
          <t>MX</t>
        </is>
      </c>
      <c r="D99" s="3" t="n">
        <v>63.03</v>
      </c>
      <c r="E99" s="3" t="n">
        <v>51.72</v>
      </c>
      <c r="F99" s="14">
        <f>(D99/E99)*100</f>
        <v/>
      </c>
      <c r="G99" s="2">
        <f>IF(F99&gt;115, "Overpriced", IF(F99&gt;=105, "Healthy Premium", IF(F99&gt;=95, "Competitive Parity", "Underpriced")))</f>
        <v/>
      </c>
    </row>
    <row r="100">
      <c r="A100" s="2" t="inlineStr">
        <is>
          <t>IRN-FUE-DIS-0011</t>
        </is>
      </c>
      <c r="B100" s="2" t="inlineStr">
        <is>
          <t>Tayga</t>
        </is>
      </c>
      <c r="C100" s="2" t="inlineStr">
        <is>
          <t>AR</t>
        </is>
      </c>
      <c r="D100" s="3" t="n">
        <v>63.03</v>
      </c>
      <c r="E100" s="3" t="n">
        <v>51.72</v>
      </c>
      <c r="F100" s="14">
        <f>(D100/E100)*100</f>
        <v/>
      </c>
      <c r="G100" s="2">
        <f>IF(F100&gt;115, "Overpriced", IF(F100&gt;=105, "Healthy Premium", IF(F100&gt;=95, "Competitive Parity", "Underpriced")))</f>
        <v/>
      </c>
    </row>
    <row r="101">
      <c r="A101" s="2" t="inlineStr">
        <is>
          <t>IRN-FUE-DIS-0012</t>
        </is>
      </c>
      <c r="B101" s="2" t="inlineStr">
        <is>
          <t>Spartan</t>
        </is>
      </c>
      <c r="C101" s="2" t="inlineStr">
        <is>
          <t>CL</t>
        </is>
      </c>
      <c r="D101" s="3" t="n">
        <v>161.22</v>
      </c>
      <c r="E101" s="3" t="n">
        <v>162.81</v>
      </c>
      <c r="F101" s="14">
        <f>(D101/E101)*100</f>
        <v/>
      </c>
      <c r="G101" s="2">
        <f>IF(F101&gt;115, "Overpriced", IF(F101&gt;=105, "Healthy Premium", IF(F101&gt;=95, "Competitive Parity", "Underpriced")))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2026-09-28T23:31:17Z</dcterms:created>
  <dcterms:modified xsi:type="dcterms:W3CDTF">2026-09-28T23:31:17Z</dcterms:modified>
</cp:coreProperties>
</file>